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Depreciation &amp; Capex" sheetId="4" state="visible" r:id="rId4"/>
    <sheet xmlns:r="http://schemas.openxmlformats.org/officeDocument/2006/relationships" name="Working Capital" sheetId="5" state="visible" r:id="rId5"/>
    <sheet xmlns:r="http://schemas.openxmlformats.org/officeDocument/2006/relationships" name="Cash Flow Statement" sheetId="6" state="visible" r:id="rId6"/>
    <sheet xmlns:r="http://schemas.openxmlformats.org/officeDocument/2006/relationships" name="Debt Schedule" sheetId="7" state="visible" r:id="rId7"/>
    <sheet xmlns:r="http://schemas.openxmlformats.org/officeDocument/2006/relationships" name="Balance Sheet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;\(0.0%\);\-"/>
    <numFmt numFmtId="165" formatCode="0.0;\(0.0\);\-"/>
    <numFmt numFmtId="166" formatCode="#,##0;\(#,##0\);\-"/>
    <numFmt numFmtId="167" formatCode="0.0\x"/>
    <numFmt numFmtId="168" formatCode="0.00\x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b val="1"/>
      <sz val="13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1F4E78"/>
      <sz val="10"/>
    </font>
    <font>
      <name val="Arial"/>
      <charset val="1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008000"/>
      <sz val="10"/>
    </font>
    <font>
      <name val="Arial"/>
      <charset val="1"/>
      <family val="0"/>
      <b val="1"/>
      <color rgb="FFFFFF00"/>
      <sz val="10"/>
    </font>
    <font>
      <name val="Arial"/>
      <charset val="1"/>
      <family val="0"/>
      <b val="1"/>
      <color rgb="FF000000"/>
      <sz val="14"/>
    </font>
    <font>
      <name val="Cambria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000000"/>
      <sz val="11"/>
    </font>
    <font>
      <name val="Cambria"/>
      <charset val="1"/>
      <family val="0"/>
      <i val="1"/>
      <color rgb="FF808080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8000"/>
      <sz val="10"/>
    </font>
  </fonts>
  <fills count="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CC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 style="thin">
        <color rgb="FFB7B7B7"/>
      </top>
      <bottom/>
      <diagonal/>
    </border>
    <border>
      <left/>
      <right/>
      <top style="double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166" fontId="18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6" fontId="22" fillId="0" borderId="0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66" fontId="23" fillId="0" borderId="0" applyAlignment="1" pivotButton="0" quotePrefix="0" xfId="0">
      <alignment horizontal="general" vertical="bottom"/>
    </xf>
    <xf numFmtId="165" fontId="22" fillId="0" borderId="0" applyAlignment="1" pivotButton="0" quotePrefix="0" xfId="0">
      <alignment horizontal="general" vertical="bottom"/>
    </xf>
    <xf numFmtId="165" fontId="23" fillId="0" borderId="0" applyAlignment="1" pivotButton="0" quotePrefix="0" xfId="0">
      <alignment horizontal="general" vertical="bottom"/>
    </xf>
    <xf numFmtId="167" fontId="22" fillId="0" borderId="0" applyAlignment="1" pivotButton="0" quotePrefix="0" xfId="0">
      <alignment horizontal="general" vertical="bottom"/>
    </xf>
    <xf numFmtId="166" fontId="22" fillId="0" borderId="2" applyAlignment="1" pivotButton="0" quotePrefix="0" xfId="0">
      <alignment horizontal="general" vertical="bottom"/>
    </xf>
    <xf numFmtId="166" fontId="22" fillId="4" borderId="0" applyAlignment="1" pivotButton="0" quotePrefix="0" xfId="0">
      <alignment horizontal="general" vertical="bottom"/>
    </xf>
    <xf numFmtId="168" fontId="22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general" vertical="bottom"/>
    </xf>
    <xf numFmtId="164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166" fontId="18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7" fillId="2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6" fontId="22" fillId="0" borderId="0" applyAlignment="1" pivotButton="0" quotePrefix="0" xfId="0">
      <alignment horizontal="general" vertical="bottom"/>
    </xf>
    <xf numFmtId="166" fontId="12" fillId="0" borderId="1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166" fontId="23" fillId="0" borderId="0" applyAlignment="1" pivotButton="0" quotePrefix="0" xfId="0">
      <alignment horizontal="general" vertical="bottom"/>
    </xf>
    <xf numFmtId="165" fontId="22" fillId="0" borderId="0" applyAlignment="1" pivotButton="0" quotePrefix="0" xfId="0">
      <alignment horizontal="general" vertical="bottom"/>
    </xf>
    <xf numFmtId="165" fontId="23" fillId="0" borderId="0" applyAlignment="1" pivotButton="0" quotePrefix="0" xfId="0">
      <alignment horizontal="general" vertical="bottom"/>
    </xf>
    <xf numFmtId="167" fontId="22" fillId="0" borderId="0" applyAlignment="1" pivotButton="0" quotePrefix="0" xfId="0">
      <alignment horizontal="general" vertical="bottom"/>
    </xf>
    <xf numFmtId="166" fontId="22" fillId="0" borderId="2" applyAlignment="1" pivotButton="0" quotePrefix="0" xfId="0">
      <alignment horizontal="general" vertical="bottom"/>
    </xf>
    <xf numFmtId="166" fontId="22" fillId="4" borderId="0" applyAlignment="1" pivotButton="0" quotePrefix="0" xfId="0">
      <alignment horizontal="general" vertical="bottom"/>
    </xf>
    <xf numFmtId="168" fontId="22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C1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6" min="1" max="1"/>
    <col width="32" customWidth="1" style="36" min="2" max="2"/>
    <col width="75" customWidth="1" style="36" min="3" max="3"/>
  </cols>
  <sheetData>
    <row r="2" ht="19.5" customHeight="1" s="37">
      <c r="B2" s="38" t="inlineStr">
        <is>
          <t>Apex Solutions Inc.</t>
        </is>
      </c>
    </row>
    <row r="3" ht="15.75" customHeight="1" s="37">
      <c r="B3" s="39" t="inlineStr">
        <is>
          <t>Financial Model — 9-Step Step-by-Step Build</t>
        </is>
      </c>
    </row>
    <row r="4" ht="15" customHeight="1" s="37">
      <c r="B4" s="40" t="inlineStr">
        <is>
          <t>Prepared by: Equity Research Analyst, Capital Partners  |  3-yr Historical + 5-yr Forecast ($ millions)</t>
        </is>
      </c>
    </row>
    <row r="6" ht="15" customHeight="1" s="37">
      <c r="B6" s="41" t="inlineStr">
        <is>
          <t>Tab</t>
        </is>
      </c>
      <c r="C6" s="41" t="inlineStr">
        <is>
          <t>Description</t>
        </is>
      </c>
    </row>
    <row r="7" ht="30" customHeight="1" s="37">
      <c r="B7" s="42" t="inlineStr">
        <is>
          <t>Assumptions</t>
        </is>
      </c>
      <c r="C7" s="43" t="inlineStr">
        <is>
          <t>Step 1 — All key drivers: growth rates, margins, SG&amp;A %, D&amp;A %, tax rate, working-capital days, debt terms</t>
        </is>
      </c>
    </row>
    <row r="8" ht="30" customHeight="1" s="37">
      <c r="B8" s="42" t="inlineStr">
        <is>
          <t>Income Statement</t>
        </is>
      </c>
      <c r="C8" s="43" t="inlineStr">
        <is>
          <t>Steps 3-4 — Revenue by segment, COGS, gross margin, EBITDA, EBIT, EBT, tax, Net Income (3yr actual + 5yr forecast)</t>
        </is>
      </c>
    </row>
    <row r="9" ht="30" customHeight="1" s="37">
      <c r="B9" s="42" t="inlineStr">
        <is>
          <t>Depreciation &amp; Capex</t>
        </is>
      </c>
      <c r="C9" s="43" t="inlineStr">
        <is>
          <t>Step 5 — Supporting schedule: capex, beginning/ending Net PP&amp;E, depreciation &amp; amortization</t>
        </is>
      </c>
    </row>
    <row r="10" ht="30" customHeight="1" s="37">
      <c r="B10" s="42" t="inlineStr">
        <is>
          <t>Working Capital</t>
        </is>
      </c>
      <c r="C10" s="43" t="inlineStr">
        <is>
          <t>Step 6 — Supporting schedule: DSO/DIO/DPO, Accounts Receivable, Inventory, Accounts Payable, cash conversion cycle</t>
        </is>
      </c>
    </row>
    <row r="11" ht="30" customHeight="1" s="37">
      <c r="B11" s="42" t="inlineStr">
        <is>
          <t>Cash Flow Statement</t>
        </is>
      </c>
      <c r="C11" s="43" t="inlineStr">
        <is>
          <t>Step 7 — Indirect-method CFO/CFI/CFF, net change in cash, ending cash balance</t>
        </is>
      </c>
    </row>
    <row r="12" ht="30" customHeight="1" s="37">
      <c r="B12" s="42" t="inlineStr">
        <is>
          <t>Debt Schedule</t>
        </is>
      </c>
      <c r="C12" s="43" t="inlineStr">
        <is>
          <t>Step 8 — Term loan roll-forward, interest expense, interest income on cash</t>
        </is>
      </c>
    </row>
    <row r="13" ht="30" customHeight="1" s="37">
      <c r="B13" s="42" t="inlineStr">
        <is>
          <t>Balance Sheet</t>
        </is>
      </c>
      <c r="C13" s="43" t="inlineStr">
        <is>
          <t>Step 9 — Fully linked &amp; balanced (Assets = Liabilities + Equity), plus key liquidity/leverage/ROE ratios</t>
        </is>
      </c>
    </row>
    <row r="15" ht="15" customHeight="1" s="37">
      <c r="B15" s="44" t="inlineStr">
        <is>
          <t>Color Coding Convention</t>
        </is>
      </c>
    </row>
    <row r="16" ht="15" customHeight="1" s="37">
      <c r="B16" s="45" t="inlineStr">
        <is>
          <t>Blue text</t>
        </is>
      </c>
      <c r="C16" s="46" t="inlineStr">
        <is>
          <t>Hardcoded inputs / actuals / assumptions</t>
        </is>
      </c>
    </row>
    <row r="17" ht="15" customHeight="1" s="37">
      <c r="B17" s="47" t="inlineStr">
        <is>
          <t>Black text</t>
        </is>
      </c>
      <c r="C17" s="46" t="inlineStr">
        <is>
          <t>Formulas &amp; calculations</t>
        </is>
      </c>
    </row>
    <row r="18" ht="15" customHeight="1" s="37">
      <c r="B18" s="48" t="inlineStr">
        <is>
          <t>Green text</t>
        </is>
      </c>
      <c r="C18" s="46" t="inlineStr">
        <is>
          <t>Links pulled from another worksheet</t>
        </is>
      </c>
    </row>
    <row r="19" ht="15" customHeight="1" s="37">
      <c r="B19" s="49" t="inlineStr">
        <is>
          <t>Yellow highlight</t>
        </is>
      </c>
      <c r="C19" s="46" t="inlineStr">
        <is>
          <t>Balance-check cell to monitor (should equal 0)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6" min="1" max="1"/>
    <col width="14" customWidth="1" style="36" min="2" max="2"/>
    <col width="60" customWidth="1" style="36" min="3" max="3"/>
  </cols>
  <sheetData>
    <row r="1" ht="17.25" customHeight="1" s="37">
      <c r="A1" s="50" t="inlineStr">
        <is>
          <t>Apex Solutions Inc. — Key Forecast Assumptions</t>
        </is>
      </c>
    </row>
    <row r="2" ht="15" customHeight="1" s="37">
      <c r="A2" s="51" t="inlineStr">
        <is>
          <t>Step 1: Build structure &amp; inputs. Per management guidance (MD&amp;A) used to drive the 5-year forecast.</t>
        </is>
      </c>
    </row>
    <row r="4" ht="15" customHeight="1" s="37">
      <c r="A4" s="52" t="inlineStr">
        <is>
          <t>Assumption</t>
        </is>
      </c>
      <c r="B4" s="52" t="inlineStr">
        <is>
          <t>Value</t>
        </is>
      </c>
      <c r="C4" s="52" t="inlineStr">
        <is>
          <t>Notes / Source</t>
        </is>
      </c>
    </row>
    <row r="5" ht="15" customHeight="1" s="37">
      <c r="A5" s="36" t="inlineStr">
        <is>
          <t>Revenue growth — Software</t>
        </is>
      </c>
      <c r="B5" s="53" t="n">
        <v>0.2</v>
      </c>
      <c r="C5" s="54" t="inlineStr">
        <is>
          <t>Management guidance: Software segment to grow 20% p.a. over next 5 years</t>
        </is>
      </c>
    </row>
    <row r="6" ht="15" customHeight="1" s="37">
      <c r="A6" s="36" t="inlineStr">
        <is>
          <t>Revenue growth — Hardware</t>
        </is>
      </c>
      <c r="B6" s="53" t="n">
        <v>0.18</v>
      </c>
      <c r="C6" s="54" t="inlineStr">
        <is>
          <t>Management guidance: Hardware segment to grow 18% p.a.</t>
        </is>
      </c>
    </row>
    <row r="7" ht="15" customHeight="1" s="37">
      <c r="A7" s="36" t="inlineStr">
        <is>
          <t>Revenue growth — IT Services</t>
        </is>
      </c>
      <c r="B7" s="53" t="n">
        <v>0.16</v>
      </c>
      <c r="C7" s="54" t="inlineStr">
        <is>
          <t>Management guidance: IT Services segment to grow 16% p.a.</t>
        </is>
      </c>
    </row>
    <row r="8" ht="15" customHeight="1" s="37">
      <c r="A8" s="36" t="inlineStr">
        <is>
          <t>COGS % of revenue — Software</t>
        </is>
      </c>
      <c r="B8" s="53" t="n">
        <v>0.5</v>
      </c>
      <c r="C8" s="54" t="inlineStr">
        <is>
          <t>Management target: maintain COGS at 50% via streamlined product dev &amp; licensing</t>
        </is>
      </c>
    </row>
    <row r="9" ht="15" customHeight="1" s="37">
      <c r="A9" s="36" t="inlineStr">
        <is>
          <t>COGS % of revenue — Hardware</t>
        </is>
      </c>
      <c r="B9" s="53" t="n">
        <v>0.48</v>
      </c>
      <c r="C9" s="54" t="inlineStr">
        <is>
          <t>Management target: maintain stable COGS at 48%</t>
        </is>
      </c>
    </row>
    <row r="10" ht="15" customHeight="1" s="37">
      <c r="A10" s="36" t="inlineStr">
        <is>
          <t>COGS % of revenue — IT Services</t>
        </is>
      </c>
      <c r="B10" s="53" t="n">
        <v>0.5</v>
      </c>
      <c r="C10" s="54" t="inlineStr">
        <is>
          <t>Management target: maintain COGS at 50%</t>
        </is>
      </c>
    </row>
    <row r="11" ht="15" customHeight="1" s="37">
      <c r="A11" s="36" t="inlineStr">
        <is>
          <t>SG&amp;A % of total revenue</t>
        </is>
      </c>
      <c r="B11" s="53" t="n">
        <v>0.15</v>
      </c>
      <c r="C11" s="54" t="inlineStr">
        <is>
          <t>Management guidance: SG&amp;A projected at 15% of total revenue annually</t>
        </is>
      </c>
    </row>
    <row r="12" ht="15" customHeight="1" s="37">
      <c r="A12" s="36" t="inlineStr">
        <is>
          <t>D&amp;A % of total revenue</t>
        </is>
      </c>
      <c r="B12" s="53" t="n">
        <v>0.045</v>
      </c>
      <c r="C12" s="54" t="inlineStr">
        <is>
          <t>Derived from 3-yr historical average (D&amp;A / Revenue)</t>
        </is>
      </c>
    </row>
    <row r="13" ht="15" customHeight="1" s="37">
      <c r="A13" s="36" t="inlineStr">
        <is>
          <t>Effective tax rate</t>
        </is>
      </c>
      <c r="B13" s="53" t="n">
        <v>0.234</v>
      </c>
      <c r="C13" s="54" t="inlineStr">
        <is>
          <t>Average of 3-yr historical effective tax rate</t>
        </is>
      </c>
    </row>
    <row r="14" ht="15" customHeight="1" s="37">
      <c r="A14" s="36" t="inlineStr">
        <is>
          <t>Days Sales Outstanding (DSO)</t>
        </is>
      </c>
      <c r="B14" s="55" t="n">
        <v>19</v>
      </c>
      <c r="C14" s="54" t="inlineStr">
        <is>
          <t>Management target collection period</t>
        </is>
      </c>
    </row>
    <row r="15" ht="15" customHeight="1" s="37">
      <c r="A15" s="36" t="inlineStr">
        <is>
          <t>Days Inventory Outstanding (DIO)</t>
        </is>
      </c>
      <c r="B15" s="55" t="n">
        <v>70</v>
      </c>
      <c r="C15" s="54" t="inlineStr">
        <is>
          <t>Management target inventory processing period</t>
        </is>
      </c>
    </row>
    <row r="16" ht="15" customHeight="1" s="37">
      <c r="A16" s="36" t="inlineStr">
        <is>
          <t>Days Payable Outstanding (DPO)</t>
        </is>
      </c>
      <c r="B16" s="55" t="n">
        <v>48</v>
      </c>
      <c r="C16" s="54" t="inlineStr">
        <is>
          <t>Management target payment period</t>
        </is>
      </c>
    </row>
    <row r="17" ht="15" customHeight="1" s="37">
      <c r="A17" s="36" t="inlineStr">
        <is>
          <t>Term loan interest rate</t>
        </is>
      </c>
      <c r="B17" s="53" t="n">
        <v>0.09</v>
      </c>
      <c r="C17" s="54" t="inlineStr">
        <is>
          <t>Stated interest rate on term loan</t>
        </is>
      </c>
    </row>
    <row r="18" ht="15" customHeight="1" s="37">
      <c r="A18" s="36" t="inlineStr">
        <is>
          <t>Interest rate earned on cash</t>
        </is>
      </c>
      <c r="B18" s="53" t="n">
        <v>0.03</v>
      </c>
      <c r="C18" s="54" t="inlineStr">
        <is>
          <t>Interest rate earned on cash &amp; cash equivalents</t>
        </is>
      </c>
    </row>
    <row r="19" ht="15" customHeight="1" s="37">
      <c r="A19" s="36" t="inlineStr">
        <is>
          <t>Annual term loan repayment</t>
        </is>
      </c>
      <c r="B19" s="56" t="n">
        <v>2000</v>
      </c>
      <c r="C19" s="54" t="inlineStr">
        <is>
          <t>Management commitment: $2,000mm scheduled annual repayment</t>
        </is>
      </c>
    </row>
    <row r="20" ht="15" customHeight="1" s="37">
      <c r="A20" s="36" t="inlineStr">
        <is>
          <t>Annual new term loan issuance</t>
        </is>
      </c>
      <c r="B20" s="56" t="n">
        <v>1000</v>
      </c>
      <c r="C20" s="54" t="inlineStr">
        <is>
          <t>Management plan: $1,000mm new issuance annually</t>
        </is>
      </c>
    </row>
    <row r="21" ht="15" customHeight="1" s="37">
      <c r="A21" s="36" t="inlineStr">
        <is>
          <t>Dividend payout</t>
        </is>
      </c>
      <c r="B21" s="56" t="n">
        <v>0</v>
      </c>
      <c r="C21" s="54" t="inlineStr">
        <is>
          <t>Assumption: no dividends; 100% of net income retained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6" min="1" max="1"/>
    <col width="11" customWidth="1" style="36" min="2" max="9"/>
  </cols>
  <sheetData>
    <row r="1" ht="17.25" customHeight="1" s="37">
      <c r="A1" s="50" t="inlineStr">
        <is>
          <t>Apex Solutions Inc.</t>
        </is>
      </c>
    </row>
    <row r="2" ht="15" customHeight="1" s="37">
      <c r="A2" s="57" t="inlineStr">
        <is>
          <t>Income Statement  ($ millions)</t>
        </is>
      </c>
    </row>
    <row r="5" ht="15" customHeight="1" s="37">
      <c r="A5" s="58" t="n"/>
      <c r="B5" s="59" t="inlineStr">
        <is>
          <t>FY21A</t>
        </is>
      </c>
      <c r="C5" s="59" t="inlineStr">
        <is>
          <t>FY22A</t>
        </is>
      </c>
      <c r="D5" s="59" t="inlineStr">
        <is>
          <t>FY23A</t>
        </is>
      </c>
      <c r="E5" s="59" t="inlineStr">
        <is>
          <t>FY24F</t>
        </is>
      </c>
      <c r="F5" s="59" t="inlineStr">
        <is>
          <t>FY25F</t>
        </is>
      </c>
      <c r="G5" s="59" t="inlineStr">
        <is>
          <t>FY26F</t>
        </is>
      </c>
      <c r="H5" s="59" t="inlineStr">
        <is>
          <t>FY27F</t>
        </is>
      </c>
      <c r="I5" s="59" t="inlineStr">
        <is>
          <t>FY28F</t>
        </is>
      </c>
    </row>
    <row r="6" ht="15" customHeight="1" s="37">
      <c r="B6" s="60" t="inlineStr">
        <is>
          <t>Historical (Actual)</t>
        </is>
      </c>
      <c r="E6" s="60" t="inlineStr">
        <is>
          <t>Forecast</t>
        </is>
      </c>
    </row>
    <row r="7" ht="15" customHeight="1" s="37">
      <c r="A7" s="47" t="inlineStr">
        <is>
          <t>Revenue</t>
        </is>
      </c>
    </row>
    <row r="8" ht="15" customHeight="1" s="37">
      <c r="A8" s="61" t="inlineStr">
        <is>
          <t xml:space="preserve">   Software</t>
        </is>
      </c>
      <c r="B8" s="56" t="n">
        <v>12000</v>
      </c>
      <c r="C8" s="56" t="n">
        <v>15000</v>
      </c>
      <c r="D8" s="56" t="n">
        <v>18500</v>
      </c>
      <c r="E8" s="62">
        <f>D8*(1+Assumptions!$B$5)</f>
        <v/>
      </c>
      <c r="F8" s="62">
        <f>E8*(1+Assumptions!$B$5)</f>
        <v/>
      </c>
      <c r="G8" s="62">
        <f>F8*(1+Assumptions!$B$5)</f>
        <v/>
      </c>
      <c r="H8" s="62">
        <f>G8*(1+Assumptions!$B$5)</f>
        <v/>
      </c>
      <c r="I8" s="62">
        <f>H8*(1+Assumptions!$B$5)</f>
        <v/>
      </c>
    </row>
    <row r="9" ht="15" customHeight="1" s="37">
      <c r="A9" s="61" t="inlineStr">
        <is>
          <t xml:space="preserve">   Hardware</t>
        </is>
      </c>
      <c r="B9" s="56" t="n">
        <v>8500</v>
      </c>
      <c r="C9" s="56" t="n">
        <v>10200</v>
      </c>
      <c r="D9" s="56" t="n">
        <v>12500</v>
      </c>
      <c r="E9" s="62">
        <f>D9*(1+Assumptions!$B$6)</f>
        <v/>
      </c>
      <c r="F9" s="62">
        <f>E9*(1+Assumptions!$B$6)</f>
        <v/>
      </c>
      <c r="G9" s="62">
        <f>F9*(1+Assumptions!$B$6)</f>
        <v/>
      </c>
      <c r="H9" s="62">
        <f>G9*(1+Assumptions!$B$6)</f>
        <v/>
      </c>
      <c r="I9" s="62">
        <f>H9*(1+Assumptions!$B$6)</f>
        <v/>
      </c>
    </row>
    <row r="10" ht="15" customHeight="1" s="37">
      <c r="A10" s="61" t="inlineStr">
        <is>
          <t xml:space="preserve">   IT Services</t>
        </is>
      </c>
      <c r="B10" s="56" t="n">
        <v>5000</v>
      </c>
      <c r="C10" s="56" t="n">
        <v>6500</v>
      </c>
      <c r="D10" s="56" t="n">
        <v>8000</v>
      </c>
      <c r="E10" s="62">
        <f>D10*(1+Assumptions!$B$7)</f>
        <v/>
      </c>
      <c r="F10" s="62">
        <f>E10*(1+Assumptions!$B$7)</f>
        <v/>
      </c>
      <c r="G10" s="62">
        <f>F10*(1+Assumptions!$B$7)</f>
        <v/>
      </c>
      <c r="H10" s="62">
        <f>G10*(1+Assumptions!$B$7)</f>
        <v/>
      </c>
      <c r="I10" s="62">
        <f>H10*(1+Assumptions!$B$7)</f>
        <v/>
      </c>
    </row>
    <row r="11" ht="15" customHeight="1" s="37">
      <c r="A11" s="47" t="inlineStr">
        <is>
          <t>Total Revenue</t>
        </is>
      </c>
      <c r="B11" s="63">
        <f>SUM(B8:B10)</f>
        <v/>
      </c>
      <c r="C11" s="63">
        <f>SUM(C8:C10)</f>
        <v/>
      </c>
      <c r="D11" s="63">
        <f>SUM(D8:D10)</f>
        <v/>
      </c>
      <c r="E11" s="63">
        <f>SUM(E8:E10)</f>
        <v/>
      </c>
      <c r="F11" s="63">
        <f>SUM(F8:F10)</f>
        <v/>
      </c>
      <c r="G11" s="63">
        <f>SUM(G8:G10)</f>
        <v/>
      </c>
      <c r="H11" s="63">
        <f>SUM(H8:H10)</f>
        <v/>
      </c>
      <c r="I11" s="63">
        <f>SUM(I8:I10)</f>
        <v/>
      </c>
    </row>
    <row r="13" ht="15" customHeight="1" s="37">
      <c r="A13" s="47" t="inlineStr">
        <is>
          <t>Cost of Goods Sold (COGS)</t>
        </is>
      </c>
    </row>
    <row r="14" ht="15" customHeight="1" s="37">
      <c r="A14" s="61" t="inlineStr">
        <is>
          <t xml:space="preserve">   Software</t>
        </is>
      </c>
      <c r="B14" s="56" t="n">
        <v>6000</v>
      </c>
      <c r="C14" s="56" t="n">
        <v>7500</v>
      </c>
      <c r="D14" s="56" t="n">
        <v>9250</v>
      </c>
      <c r="E14" s="62">
        <f>E8*Assumptions!$B$8</f>
        <v/>
      </c>
      <c r="F14" s="62">
        <f>F8*Assumptions!$B$8</f>
        <v/>
      </c>
      <c r="G14" s="62">
        <f>G8*Assumptions!$B$8</f>
        <v/>
      </c>
      <c r="H14" s="62">
        <f>H8*Assumptions!$B$8</f>
        <v/>
      </c>
      <c r="I14" s="62">
        <f>I8*Assumptions!$B$8</f>
        <v/>
      </c>
    </row>
    <row r="15" ht="15" customHeight="1" s="37">
      <c r="A15" s="61" t="inlineStr">
        <is>
          <t xml:space="preserve">   Hardware</t>
        </is>
      </c>
      <c r="B15" s="56" t="n">
        <v>4080</v>
      </c>
      <c r="C15" s="56" t="n">
        <v>4896</v>
      </c>
      <c r="D15" s="56" t="n">
        <v>6000</v>
      </c>
      <c r="E15" s="62">
        <f>E9*Assumptions!$B$9</f>
        <v/>
      </c>
      <c r="F15" s="62">
        <f>F9*Assumptions!$B$9</f>
        <v/>
      </c>
      <c r="G15" s="62">
        <f>G9*Assumptions!$B$9</f>
        <v/>
      </c>
      <c r="H15" s="62">
        <f>H9*Assumptions!$B$9</f>
        <v/>
      </c>
      <c r="I15" s="62">
        <f>I9*Assumptions!$B$9</f>
        <v/>
      </c>
    </row>
    <row r="16" ht="15" customHeight="1" s="37">
      <c r="A16" s="61" t="inlineStr">
        <is>
          <t xml:space="preserve">   IT Services</t>
        </is>
      </c>
      <c r="B16" s="56" t="n">
        <v>2500</v>
      </c>
      <c r="C16" s="56" t="n">
        <v>3250</v>
      </c>
      <c r="D16" s="56" t="n">
        <v>4000</v>
      </c>
      <c r="E16" s="62">
        <f>E10*Assumptions!$B$10</f>
        <v/>
      </c>
      <c r="F16" s="62">
        <f>F10*Assumptions!$B$10</f>
        <v/>
      </c>
      <c r="G16" s="62">
        <f>G10*Assumptions!$B$10</f>
        <v/>
      </c>
      <c r="H16" s="62">
        <f>H10*Assumptions!$B$10</f>
        <v/>
      </c>
      <c r="I16" s="62">
        <f>I10*Assumptions!$B$10</f>
        <v/>
      </c>
    </row>
    <row r="17" ht="15" customHeight="1" s="37">
      <c r="A17" s="47" t="inlineStr">
        <is>
          <t>Total COGS</t>
        </is>
      </c>
      <c r="B17" s="63">
        <f>SUM(B14:B16)</f>
        <v/>
      </c>
      <c r="C17" s="63">
        <f>SUM(C14:C16)</f>
        <v/>
      </c>
      <c r="D17" s="63">
        <f>SUM(D14:D16)</f>
        <v/>
      </c>
      <c r="E17" s="63">
        <f>SUM(E14:E16)</f>
        <v/>
      </c>
      <c r="F17" s="63">
        <f>SUM(F14:F16)</f>
        <v/>
      </c>
      <c r="G17" s="63">
        <f>SUM(G14:G16)</f>
        <v/>
      </c>
      <c r="H17" s="63">
        <f>SUM(H14:H16)</f>
        <v/>
      </c>
      <c r="I17" s="63">
        <f>SUM(I14:I16)</f>
        <v/>
      </c>
    </row>
    <row r="19" ht="15" customHeight="1" s="37">
      <c r="A19" s="47" t="inlineStr">
        <is>
          <t>Gross Profit</t>
        </is>
      </c>
      <c r="B19" s="63">
        <f>B11-B17</f>
        <v/>
      </c>
      <c r="C19" s="63">
        <f>C11-C17</f>
        <v/>
      </c>
      <c r="D19" s="63">
        <f>D11-D17</f>
        <v/>
      </c>
      <c r="E19" s="63">
        <f>E11-E17</f>
        <v/>
      </c>
      <c r="F19" s="63">
        <f>F11-F17</f>
        <v/>
      </c>
      <c r="G19" s="63">
        <f>G11-G17</f>
        <v/>
      </c>
      <c r="H19" s="63">
        <f>H11-H17</f>
        <v/>
      </c>
      <c r="I19" s="63">
        <f>I11-I17</f>
        <v/>
      </c>
    </row>
    <row r="20" ht="15" customHeight="1" s="37">
      <c r="A20" s="61" t="inlineStr">
        <is>
          <t>Gross Margin %</t>
        </is>
      </c>
      <c r="B20" s="64">
        <f>B19/B11</f>
        <v/>
      </c>
      <c r="C20" s="64">
        <f>C19/C11</f>
        <v/>
      </c>
      <c r="D20" s="64">
        <f>D19/D11</f>
        <v/>
      </c>
      <c r="E20" s="64">
        <f>E19/E11</f>
        <v/>
      </c>
      <c r="F20" s="64">
        <f>F19/F11</f>
        <v/>
      </c>
      <c r="G20" s="64">
        <f>G19/G11</f>
        <v/>
      </c>
      <c r="H20" s="64">
        <f>H19/H11</f>
        <v/>
      </c>
      <c r="I20" s="64">
        <f>I19/I11</f>
        <v/>
      </c>
    </row>
    <row r="22" ht="15" customHeight="1" s="37">
      <c r="A22" s="61" t="inlineStr">
        <is>
          <t>SG&amp;A</t>
        </is>
      </c>
      <c r="B22" s="56" t="n">
        <v>3825</v>
      </c>
      <c r="C22" s="56" t="n">
        <v>4755</v>
      </c>
      <c r="D22" s="56" t="n">
        <v>5850</v>
      </c>
      <c r="E22" s="62">
        <f>E11*Assumptions!$B$11</f>
        <v/>
      </c>
      <c r="F22" s="62">
        <f>F11*Assumptions!$B$11</f>
        <v/>
      </c>
      <c r="G22" s="62">
        <f>G11*Assumptions!$B$11</f>
        <v/>
      </c>
      <c r="H22" s="62">
        <f>H11*Assumptions!$B$11</f>
        <v/>
      </c>
      <c r="I22" s="62">
        <f>I11*Assumptions!$B$11</f>
        <v/>
      </c>
    </row>
    <row r="24" ht="15" customHeight="1" s="37">
      <c r="A24" s="47" t="inlineStr">
        <is>
          <t>EBITDA</t>
        </is>
      </c>
      <c r="B24" s="63">
        <f>B19-B22</f>
        <v/>
      </c>
      <c r="C24" s="63">
        <f>C19-C22</f>
        <v/>
      </c>
      <c r="D24" s="63">
        <f>D19-D22</f>
        <v/>
      </c>
      <c r="E24" s="63">
        <f>E19-E22</f>
        <v/>
      </c>
      <c r="F24" s="63">
        <f>F19-F22</f>
        <v/>
      </c>
      <c r="G24" s="63">
        <f>G19-G22</f>
        <v/>
      </c>
      <c r="H24" s="63">
        <f>H19-H22</f>
        <v/>
      </c>
      <c r="I24" s="63">
        <f>I19-I22</f>
        <v/>
      </c>
    </row>
    <row r="25" ht="15" customHeight="1" s="37">
      <c r="A25" s="61" t="inlineStr">
        <is>
          <t>EBITDA Margin %</t>
        </is>
      </c>
      <c r="B25" s="64">
        <f>B24/B11</f>
        <v/>
      </c>
      <c r="C25" s="64">
        <f>C24/C11</f>
        <v/>
      </c>
      <c r="D25" s="64">
        <f>D24/D11</f>
        <v/>
      </c>
      <c r="E25" s="64">
        <f>E24/E11</f>
        <v/>
      </c>
      <c r="F25" s="64">
        <f>F24/F11</f>
        <v/>
      </c>
      <c r="G25" s="64">
        <f>G24/G11</f>
        <v/>
      </c>
      <c r="H25" s="64">
        <f>H24/H11</f>
        <v/>
      </c>
      <c r="I25" s="64">
        <f>I24/I11</f>
        <v/>
      </c>
    </row>
    <row r="27" ht="15" customHeight="1" s="37">
      <c r="A27" s="61" t="inlineStr">
        <is>
          <t>Depreciation &amp; Amortization</t>
        </is>
      </c>
      <c r="B27" s="65">
        <f>'Depreciation &amp; Capex'!B16</f>
        <v/>
      </c>
      <c r="C27" s="65">
        <f>'Depreciation &amp; Capex'!C16</f>
        <v/>
      </c>
      <c r="D27" s="65">
        <f>'Depreciation &amp; Capex'!D16</f>
        <v/>
      </c>
      <c r="E27" s="65">
        <f>'Depreciation &amp; Capex'!E16</f>
        <v/>
      </c>
      <c r="F27" s="65">
        <f>'Depreciation &amp; Capex'!F16</f>
        <v/>
      </c>
      <c r="G27" s="65">
        <f>'Depreciation &amp; Capex'!G16</f>
        <v/>
      </c>
      <c r="H27" s="65">
        <f>'Depreciation &amp; Capex'!H16</f>
        <v/>
      </c>
      <c r="I27" s="65">
        <f>'Depreciation &amp; Capex'!I16</f>
        <v/>
      </c>
    </row>
    <row r="29" ht="15" customHeight="1" s="37">
      <c r="A29" s="47" t="inlineStr">
        <is>
          <t>EBIT (Operating Profit)</t>
        </is>
      </c>
      <c r="B29" s="63">
        <f>B24-B27</f>
        <v/>
      </c>
      <c r="C29" s="63">
        <f>C24-C27</f>
        <v/>
      </c>
      <c r="D29" s="63">
        <f>D24-D27</f>
        <v/>
      </c>
      <c r="E29" s="63">
        <f>E24-E27</f>
        <v/>
      </c>
      <c r="F29" s="63">
        <f>F24-F27</f>
        <v/>
      </c>
      <c r="G29" s="63">
        <f>G24-G27</f>
        <v/>
      </c>
      <c r="H29" s="63">
        <f>H24-H27</f>
        <v/>
      </c>
      <c r="I29" s="63">
        <f>I24-I27</f>
        <v/>
      </c>
    </row>
    <row r="30" ht="15" customHeight="1" s="37">
      <c r="A30" s="61" t="inlineStr">
        <is>
          <t>EBIT Margin %</t>
        </is>
      </c>
      <c r="B30" s="64">
        <f>B29/B11</f>
        <v/>
      </c>
      <c r="C30" s="64">
        <f>C29/C11</f>
        <v/>
      </c>
      <c r="D30" s="64">
        <f>D29/D11</f>
        <v/>
      </c>
      <c r="E30" s="64">
        <f>E29/E11</f>
        <v/>
      </c>
      <c r="F30" s="64">
        <f>F29/F11</f>
        <v/>
      </c>
      <c r="G30" s="64">
        <f>G29/G11</f>
        <v/>
      </c>
      <c r="H30" s="64">
        <f>H29/H11</f>
        <v/>
      </c>
      <c r="I30" s="64">
        <f>I29/I11</f>
        <v/>
      </c>
    </row>
    <row r="32" ht="15" customHeight="1" s="37">
      <c r="A32" s="61" t="inlineStr">
        <is>
          <t>Interest Expense</t>
        </is>
      </c>
      <c r="B32" s="65">
        <f>-'Debt Schedule'!B13</f>
        <v/>
      </c>
      <c r="C32" s="65">
        <f>-'Debt Schedule'!C13</f>
        <v/>
      </c>
      <c r="D32" s="65">
        <f>-'Debt Schedule'!D13</f>
        <v/>
      </c>
      <c r="E32" s="65">
        <f>-'Debt Schedule'!E13</f>
        <v/>
      </c>
      <c r="F32" s="65">
        <f>-'Debt Schedule'!F13</f>
        <v/>
      </c>
      <c r="G32" s="65">
        <f>-'Debt Schedule'!G13</f>
        <v/>
      </c>
      <c r="H32" s="65">
        <f>-'Debt Schedule'!H13</f>
        <v/>
      </c>
      <c r="I32" s="65">
        <f>-'Debt Schedule'!I13</f>
        <v/>
      </c>
    </row>
    <row r="33" ht="15" customHeight="1" s="37">
      <c r="A33" s="61" t="inlineStr">
        <is>
          <t>Interest Income</t>
        </is>
      </c>
      <c r="B33" s="65">
        <f>'Debt Schedule'!B19</f>
        <v/>
      </c>
      <c r="C33" s="65">
        <f>'Debt Schedule'!C19</f>
        <v/>
      </c>
      <c r="D33" s="65">
        <f>'Debt Schedule'!D19</f>
        <v/>
      </c>
      <c r="E33" s="65">
        <f>'Debt Schedule'!E19</f>
        <v/>
      </c>
      <c r="F33" s="65">
        <f>'Debt Schedule'!F19</f>
        <v/>
      </c>
      <c r="G33" s="65">
        <f>'Debt Schedule'!G19</f>
        <v/>
      </c>
      <c r="H33" s="65">
        <f>'Debt Schedule'!H19</f>
        <v/>
      </c>
      <c r="I33" s="65">
        <f>'Debt Schedule'!I19</f>
        <v/>
      </c>
    </row>
    <row r="35" ht="15" customHeight="1" s="37">
      <c r="A35" s="47" t="inlineStr">
        <is>
          <t>EBT (Pre-tax Profit)</t>
        </is>
      </c>
      <c r="B35" s="63">
        <f>B29+B32+B33</f>
        <v/>
      </c>
      <c r="C35" s="63">
        <f>C29+C32+C33</f>
        <v/>
      </c>
      <c r="D35" s="63">
        <f>D29+D32+D33</f>
        <v/>
      </c>
      <c r="E35" s="63">
        <f>E29+E32+E33</f>
        <v/>
      </c>
      <c r="F35" s="63">
        <f>F29+F32+F33</f>
        <v/>
      </c>
      <c r="G35" s="63">
        <f>G29+G32+G33</f>
        <v/>
      </c>
      <c r="H35" s="63">
        <f>H29+H32+H33</f>
        <v/>
      </c>
      <c r="I35" s="63">
        <f>I29+I32+I33</f>
        <v/>
      </c>
    </row>
    <row r="36" ht="15" customHeight="1" s="37">
      <c r="A36" s="61" t="inlineStr">
        <is>
          <t>EBT Margin %</t>
        </is>
      </c>
      <c r="B36" s="64">
        <f>B35/B11</f>
        <v/>
      </c>
      <c r="C36" s="64">
        <f>C35/C11</f>
        <v/>
      </c>
      <c r="D36" s="64">
        <f>D35/D11</f>
        <v/>
      </c>
      <c r="E36" s="64">
        <f>E35/E11</f>
        <v/>
      </c>
      <c r="F36" s="64">
        <f>F35/F11</f>
        <v/>
      </c>
      <c r="G36" s="64">
        <f>G35/G11</f>
        <v/>
      </c>
      <c r="H36" s="64">
        <f>H35/H11</f>
        <v/>
      </c>
      <c r="I36" s="64">
        <f>I35/I11</f>
        <v/>
      </c>
    </row>
    <row r="38" ht="15" customHeight="1" s="37">
      <c r="A38" s="61" t="inlineStr">
        <is>
          <t>Tax</t>
        </is>
      </c>
      <c r="B38" s="56" t="n">
        <v>1465.9</v>
      </c>
      <c r="C38" s="56" t="n">
        <v>1870.4</v>
      </c>
      <c r="D38" s="56" t="n">
        <v>2348.8</v>
      </c>
      <c r="E38" s="62">
        <f>E35*Assumptions!$B$13</f>
        <v/>
      </c>
      <c r="F38" s="62">
        <f>F35*Assumptions!$B$13</f>
        <v/>
      </c>
      <c r="G38" s="62">
        <f>G35*Assumptions!$B$13</f>
        <v/>
      </c>
      <c r="H38" s="62">
        <f>H35*Assumptions!$B$13</f>
        <v/>
      </c>
      <c r="I38" s="62">
        <f>I35*Assumptions!$B$13</f>
        <v/>
      </c>
    </row>
    <row r="39" ht="15" customHeight="1" s="37">
      <c r="A39" s="61" t="inlineStr">
        <is>
          <t>Effective Tax Rate %</t>
        </is>
      </c>
      <c r="B39" s="64">
        <f>B38/B35</f>
        <v/>
      </c>
      <c r="C39" s="64">
        <f>C38/C35</f>
        <v/>
      </c>
      <c r="D39" s="64">
        <f>D38/D35</f>
        <v/>
      </c>
      <c r="E39" s="64">
        <f>E38/E35</f>
        <v/>
      </c>
      <c r="F39" s="64">
        <f>F38/F35</f>
        <v/>
      </c>
      <c r="G39" s="64">
        <f>G38/G35</f>
        <v/>
      </c>
      <c r="H39" s="64">
        <f>H38/H35</f>
        <v/>
      </c>
      <c r="I39" s="64">
        <f>I38/I35</f>
        <v/>
      </c>
    </row>
    <row r="41" ht="15" customHeight="1" s="37">
      <c r="A41" s="47" t="inlineStr">
        <is>
          <t>Net Income</t>
        </is>
      </c>
      <c r="B41" s="63">
        <f>B35-B38</f>
        <v/>
      </c>
      <c r="C41" s="63">
        <f>C35-C38</f>
        <v/>
      </c>
      <c r="D41" s="63">
        <f>D35-D38</f>
        <v/>
      </c>
      <c r="E41" s="63">
        <f>E35-E38</f>
        <v/>
      </c>
      <c r="F41" s="63">
        <f>F35-F38</f>
        <v/>
      </c>
      <c r="G41" s="63">
        <f>G35-G38</f>
        <v/>
      </c>
      <c r="H41" s="63">
        <f>H35-H38</f>
        <v/>
      </c>
      <c r="I41" s="63">
        <f>I35-I38</f>
        <v/>
      </c>
    </row>
    <row r="42" ht="15" customHeight="1" s="37">
      <c r="A42" s="61" t="inlineStr">
        <is>
          <t>Net Income Margin %</t>
        </is>
      </c>
      <c r="B42" s="64">
        <f>B41/B11</f>
        <v/>
      </c>
      <c r="C42" s="64">
        <f>C41/C11</f>
        <v/>
      </c>
      <c r="D42" s="64">
        <f>D41/D11</f>
        <v/>
      </c>
      <c r="E42" s="64">
        <f>E41/E11</f>
        <v/>
      </c>
      <c r="F42" s="64">
        <f>F41/F11</f>
        <v/>
      </c>
      <c r="G42" s="64">
        <f>G41/G11</f>
        <v/>
      </c>
      <c r="H42" s="64">
        <f>H41/H11</f>
        <v/>
      </c>
      <c r="I42" s="64">
        <f>I41/I11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6" min="1" max="1"/>
    <col width="11" customWidth="1" style="36" min="2" max="9"/>
  </cols>
  <sheetData>
    <row r="1" ht="17.25" customHeight="1" s="37">
      <c r="A1" s="50" t="inlineStr">
        <is>
          <t>Apex Solutions Inc.</t>
        </is>
      </c>
    </row>
    <row r="2" ht="15" customHeight="1" s="37">
      <c r="A2" s="57" t="inlineStr">
        <is>
          <t>Depreciation &amp; Capex Schedule (Supporting Schedule)  ($ millions)</t>
        </is>
      </c>
    </row>
    <row r="5" ht="15" customHeight="1" s="37">
      <c r="A5" s="58" t="n"/>
      <c r="B5" s="59" t="inlineStr">
        <is>
          <t>FY21A</t>
        </is>
      </c>
      <c r="C5" s="59" t="inlineStr">
        <is>
          <t>FY22A</t>
        </is>
      </c>
      <c r="D5" s="59" t="inlineStr">
        <is>
          <t>FY23A</t>
        </is>
      </c>
      <c r="E5" s="59" t="inlineStr">
        <is>
          <t>FY24F</t>
        </is>
      </c>
      <c r="F5" s="59" t="inlineStr">
        <is>
          <t>FY25F</t>
        </is>
      </c>
      <c r="G5" s="59" t="inlineStr">
        <is>
          <t>FY26F</t>
        </is>
      </c>
      <c r="H5" s="59" t="inlineStr">
        <is>
          <t>FY27F</t>
        </is>
      </c>
      <c r="I5" s="59" t="inlineStr">
        <is>
          <t>FY28F</t>
        </is>
      </c>
    </row>
    <row r="6" ht="15" customHeight="1" s="37">
      <c r="B6" s="60" t="inlineStr">
        <is>
          <t>Historical (Actual)</t>
        </is>
      </c>
      <c r="E6" s="60" t="inlineStr">
        <is>
          <t>Forecast</t>
        </is>
      </c>
    </row>
    <row r="7" ht="15" customHeight="1" s="37">
      <c r="A7" s="61" t="inlineStr">
        <is>
          <t>Total Revenue (linked)</t>
        </is>
      </c>
      <c r="B7" s="65">
        <f>'Income Statement'!B11</f>
        <v/>
      </c>
      <c r="C7" s="65">
        <f>'Income Statement'!C11</f>
        <v/>
      </c>
      <c r="D7" s="65">
        <f>'Income Statement'!D11</f>
        <v/>
      </c>
      <c r="E7" s="65">
        <f>'Income Statement'!E11</f>
        <v/>
      </c>
      <c r="F7" s="65">
        <f>'Income Statement'!F11</f>
        <v/>
      </c>
      <c r="G7" s="65">
        <f>'Income Statement'!G11</f>
        <v/>
      </c>
      <c r="H7" s="65">
        <f>'Income Statement'!H11</f>
        <v/>
      </c>
      <c r="I7" s="65">
        <f>'Income Statement'!I11</f>
        <v/>
      </c>
    </row>
    <row r="9" ht="15" customHeight="1" s="37">
      <c r="A9" s="61" t="inlineStr">
        <is>
          <t>Capital Expenditure (Capex)</t>
        </is>
      </c>
      <c r="B9" s="56" t="n">
        <v>8000</v>
      </c>
      <c r="C9" s="56" t="n">
        <v>9000</v>
      </c>
      <c r="D9" s="56" t="n">
        <v>9800</v>
      </c>
      <c r="E9" s="56" t="n">
        <v>10000</v>
      </c>
      <c r="F9" s="56" t="n">
        <v>11500</v>
      </c>
      <c r="G9" s="56" t="n">
        <v>13000</v>
      </c>
      <c r="H9" s="56" t="n">
        <v>13500</v>
      </c>
      <c r="I9" s="56" t="n">
        <v>15000</v>
      </c>
    </row>
    <row r="11" ht="15" customHeight="1" s="37">
      <c r="A11" s="61" t="inlineStr">
        <is>
          <t>Beginning Net PP&amp;E</t>
        </is>
      </c>
      <c r="B11" s="56" t="n">
        <v>15000</v>
      </c>
      <c r="C11" s="62">
        <f>B14</f>
        <v/>
      </c>
      <c r="D11" s="62">
        <f>C14</f>
        <v/>
      </c>
      <c r="E11" s="62">
        <f>D14</f>
        <v/>
      </c>
      <c r="F11" s="62">
        <f>E14</f>
        <v/>
      </c>
      <c r="G11" s="62">
        <f>F14</f>
        <v/>
      </c>
      <c r="H11" s="62">
        <f>G14</f>
        <v/>
      </c>
      <c r="I11" s="62">
        <f>H14</f>
        <v/>
      </c>
    </row>
    <row r="12" ht="15" customHeight="1" s="37">
      <c r="A12" s="61" t="inlineStr">
        <is>
          <t xml:space="preserve">   (+) Capex</t>
        </is>
      </c>
      <c r="B12" s="62">
        <f>B9</f>
        <v/>
      </c>
      <c r="C12" s="62">
        <f>C9</f>
        <v/>
      </c>
      <c r="D12" s="62">
        <f>D9</f>
        <v/>
      </c>
      <c r="E12" s="62">
        <f>E9</f>
        <v/>
      </c>
      <c r="F12" s="62">
        <f>F9</f>
        <v/>
      </c>
      <c r="G12" s="62">
        <f>G9</f>
        <v/>
      </c>
      <c r="H12" s="62">
        <f>H9</f>
        <v/>
      </c>
      <c r="I12" s="62">
        <f>I9</f>
        <v/>
      </c>
    </row>
    <row r="13" ht="15" customHeight="1" s="37">
      <c r="A13" s="61" t="inlineStr">
        <is>
          <t xml:space="preserve">   (-) Depreciation &amp; Amortization</t>
        </is>
      </c>
      <c r="B13" s="62">
        <f>B16</f>
        <v/>
      </c>
      <c r="C13" s="62">
        <f>C16</f>
        <v/>
      </c>
      <c r="D13" s="62">
        <f>D16</f>
        <v/>
      </c>
      <c r="E13" s="62">
        <f>E16</f>
        <v/>
      </c>
      <c r="F13" s="62">
        <f>F16</f>
        <v/>
      </c>
      <c r="G13" s="62">
        <f>G16</f>
        <v/>
      </c>
      <c r="H13" s="62">
        <f>H16</f>
        <v/>
      </c>
      <c r="I13" s="62">
        <f>I16</f>
        <v/>
      </c>
    </row>
    <row r="14" ht="15" customHeight="1" s="37">
      <c r="A14" s="47" t="inlineStr">
        <is>
          <t>Ending Net PP&amp;E</t>
        </is>
      </c>
      <c r="B14" s="63">
        <f>B11+B12-B13</f>
        <v/>
      </c>
      <c r="C14" s="63">
        <f>C11+C12-C13</f>
        <v/>
      </c>
      <c r="D14" s="63">
        <f>D11+D12-D13</f>
        <v/>
      </c>
      <c r="E14" s="63">
        <f>E11+E12-E13</f>
        <v/>
      </c>
      <c r="F14" s="63">
        <f>F11+F12-F13</f>
        <v/>
      </c>
      <c r="G14" s="63">
        <f>G11+G12-G13</f>
        <v/>
      </c>
      <c r="H14" s="63">
        <f>H11+H12-H13</f>
        <v/>
      </c>
      <c r="I14" s="63">
        <f>I11+I12-I13</f>
        <v/>
      </c>
    </row>
    <row r="16" ht="15" customHeight="1" s="37">
      <c r="A16" s="61" t="inlineStr">
        <is>
          <t>Depreciation &amp; Amortization</t>
        </is>
      </c>
      <c r="B16" s="56" t="n">
        <v>1147.5</v>
      </c>
      <c r="C16" s="56" t="n">
        <v>1426.5</v>
      </c>
      <c r="D16" s="56" t="n">
        <v>1755</v>
      </c>
      <c r="E16" s="62">
        <f>E7*Assumptions!$B$12</f>
        <v/>
      </c>
      <c r="F16" s="62">
        <f>F7*Assumptions!$B$12</f>
        <v/>
      </c>
      <c r="G16" s="62">
        <f>G7*Assumptions!$B$12</f>
        <v/>
      </c>
      <c r="H16" s="62">
        <f>H7*Assumptions!$B$12</f>
        <v/>
      </c>
      <c r="I16" s="62">
        <f>I7*Assumptions!$B$12</f>
        <v/>
      </c>
    </row>
    <row r="17" ht="15" customHeight="1" s="37">
      <c r="A17" s="61" t="inlineStr">
        <is>
          <t>D&amp;A % of Revenue</t>
        </is>
      </c>
      <c r="B17" s="64">
        <f>B16/B7</f>
        <v/>
      </c>
      <c r="C17" s="64">
        <f>C16/C7</f>
        <v/>
      </c>
      <c r="D17" s="64">
        <f>D16/D7</f>
        <v/>
      </c>
      <c r="E17" s="64">
        <f>E16/E7</f>
        <v/>
      </c>
      <c r="F17" s="64">
        <f>F16/F7</f>
        <v/>
      </c>
      <c r="G17" s="64">
        <f>G16/G7</f>
        <v/>
      </c>
      <c r="H17" s="64">
        <f>H16/H7</f>
        <v/>
      </c>
      <c r="I17" s="64">
        <f>I16/I7</f>
        <v/>
      </c>
    </row>
    <row r="19" ht="15" customHeight="1" s="37">
      <c r="A19" s="60" t="inlineStr">
        <is>
          <t>Note: Amortization of intangibles assumed $0 (no intangible assets / acquisitions on balance sheet).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6" min="1" max="1"/>
    <col width="11" customWidth="1" style="36" min="2" max="9"/>
  </cols>
  <sheetData>
    <row r="1" ht="17.25" customHeight="1" s="37">
      <c r="A1" s="50" t="inlineStr">
        <is>
          <t>Apex Solutions Inc.</t>
        </is>
      </c>
    </row>
    <row r="2" ht="15" customHeight="1" s="37">
      <c r="A2" s="57" t="inlineStr">
        <is>
          <t>Working Capital Schedule (Supporting Schedule)  ($ millions)</t>
        </is>
      </c>
    </row>
    <row r="5" ht="15" customHeight="1" s="37">
      <c r="A5" s="58" t="n"/>
      <c r="B5" s="59" t="inlineStr">
        <is>
          <t>FY21A</t>
        </is>
      </c>
      <c r="C5" s="59" t="inlineStr">
        <is>
          <t>FY22A</t>
        </is>
      </c>
      <c r="D5" s="59" t="inlineStr">
        <is>
          <t>FY23A</t>
        </is>
      </c>
      <c r="E5" s="59" t="inlineStr">
        <is>
          <t>FY24F</t>
        </is>
      </c>
      <c r="F5" s="59" t="inlineStr">
        <is>
          <t>FY25F</t>
        </is>
      </c>
      <c r="G5" s="59" t="inlineStr">
        <is>
          <t>FY26F</t>
        </is>
      </c>
      <c r="H5" s="59" t="inlineStr">
        <is>
          <t>FY27F</t>
        </is>
      </c>
      <c r="I5" s="59" t="inlineStr">
        <is>
          <t>FY28F</t>
        </is>
      </c>
    </row>
    <row r="6" ht="15" customHeight="1" s="37">
      <c r="B6" s="60" t="inlineStr">
        <is>
          <t>Historical (Actual)</t>
        </is>
      </c>
      <c r="E6" s="60" t="inlineStr">
        <is>
          <t>Forecast</t>
        </is>
      </c>
    </row>
    <row r="7" ht="15" customHeight="1" s="37">
      <c r="A7" s="61" t="inlineStr">
        <is>
          <t>Total Revenue (linked)</t>
        </is>
      </c>
      <c r="B7" s="65">
        <f>'Income Statement'!B11</f>
        <v/>
      </c>
      <c r="C7" s="65">
        <f>'Income Statement'!C11</f>
        <v/>
      </c>
      <c r="D7" s="65">
        <f>'Income Statement'!D11</f>
        <v/>
      </c>
      <c r="E7" s="65">
        <f>'Income Statement'!E11</f>
        <v/>
      </c>
      <c r="F7" s="65">
        <f>'Income Statement'!F11</f>
        <v/>
      </c>
      <c r="G7" s="65">
        <f>'Income Statement'!G11</f>
        <v/>
      </c>
      <c r="H7" s="65">
        <f>'Income Statement'!H11</f>
        <v/>
      </c>
      <c r="I7" s="65">
        <f>'Income Statement'!I11</f>
        <v/>
      </c>
    </row>
    <row r="8" ht="15" customHeight="1" s="37">
      <c r="A8" s="61" t="inlineStr">
        <is>
          <t>Total COGS (linked)</t>
        </is>
      </c>
      <c r="B8" s="65">
        <f>'Income Statement'!B17</f>
        <v/>
      </c>
      <c r="C8" s="65">
        <f>'Income Statement'!C17</f>
        <v/>
      </c>
      <c r="D8" s="65">
        <f>'Income Statement'!D17</f>
        <v/>
      </c>
      <c r="E8" s="65">
        <f>'Income Statement'!E17</f>
        <v/>
      </c>
      <c r="F8" s="65">
        <f>'Income Statement'!F17</f>
        <v/>
      </c>
      <c r="G8" s="65">
        <f>'Income Statement'!G17</f>
        <v/>
      </c>
      <c r="H8" s="65">
        <f>'Income Statement'!H17</f>
        <v/>
      </c>
      <c r="I8" s="65">
        <f>'Income Statement'!I17</f>
        <v/>
      </c>
    </row>
    <row r="10" ht="15" customHeight="1" s="37">
      <c r="A10" s="47" t="inlineStr">
        <is>
          <t>Accounts Receivable</t>
        </is>
      </c>
      <c r="B10" s="56" t="n">
        <v>1467</v>
      </c>
      <c r="C10" s="56" t="n">
        <v>1737</v>
      </c>
      <c r="D10" s="56" t="n">
        <v>2030</v>
      </c>
      <c r="E10" s="62">
        <f>E7*E15/365</f>
        <v/>
      </c>
      <c r="F10" s="62">
        <f>F7*F15/365</f>
        <v/>
      </c>
      <c r="G10" s="62">
        <f>G7*G15/365</f>
        <v/>
      </c>
      <c r="H10" s="62">
        <f>H7*H15/365</f>
        <v/>
      </c>
      <c r="I10" s="62">
        <f>I7*I15/365</f>
        <v/>
      </c>
    </row>
    <row r="11" ht="15" customHeight="1" s="37">
      <c r="A11" s="47" t="inlineStr">
        <is>
          <t>Inventory</t>
        </is>
      </c>
      <c r="B11" s="56" t="n">
        <v>2757</v>
      </c>
      <c r="C11" s="56" t="n">
        <v>3214</v>
      </c>
      <c r="D11" s="56" t="n">
        <v>3692</v>
      </c>
      <c r="E11" s="62">
        <f>E8*E16/365</f>
        <v/>
      </c>
      <c r="F11" s="62">
        <f>F8*F16/365</f>
        <v/>
      </c>
      <c r="G11" s="62">
        <f>G8*G16/365</f>
        <v/>
      </c>
      <c r="H11" s="62">
        <f>H8*H16/365</f>
        <v/>
      </c>
      <c r="I11" s="62">
        <f>I8*I16/365</f>
        <v/>
      </c>
    </row>
    <row r="12" ht="15" customHeight="1" s="37">
      <c r="A12" s="47" t="inlineStr">
        <is>
          <t>Accounts Payable</t>
        </is>
      </c>
      <c r="B12" s="56" t="n">
        <v>1896</v>
      </c>
      <c r="C12" s="56" t="n">
        <v>2144</v>
      </c>
      <c r="D12" s="56" t="n">
        <v>2532</v>
      </c>
      <c r="E12" s="62">
        <f>E8*E17/365</f>
        <v/>
      </c>
      <c r="F12" s="62">
        <f>F8*F17/365</f>
        <v/>
      </c>
      <c r="G12" s="62">
        <f>G8*G17/365</f>
        <v/>
      </c>
      <c r="H12" s="62">
        <f>H8*H17/365</f>
        <v/>
      </c>
      <c r="I12" s="62">
        <f>I8*I17/365</f>
        <v/>
      </c>
    </row>
    <row r="14" ht="15" customHeight="1" s="37">
      <c r="A14" s="61" t="inlineStr">
        <is>
          <t>Net Working Capital (AR + Inv - AP)</t>
        </is>
      </c>
      <c r="B14" s="62">
        <f>B10+B11-B12</f>
        <v/>
      </c>
      <c r="C14" s="62">
        <f>C10+C11-C12</f>
        <v/>
      </c>
      <c r="D14" s="62">
        <f>D10+D11-D12</f>
        <v/>
      </c>
      <c r="E14" s="62">
        <f>E10+E11-E12</f>
        <v/>
      </c>
      <c r="F14" s="62">
        <f>F10+F11-F12</f>
        <v/>
      </c>
      <c r="G14" s="62">
        <f>G10+G11-G12</f>
        <v/>
      </c>
      <c r="H14" s="62">
        <f>H10+H11-H12</f>
        <v/>
      </c>
      <c r="I14" s="62">
        <f>I10+I11-I12</f>
        <v/>
      </c>
    </row>
    <row r="15" ht="15" customHeight="1" s="37">
      <c r="A15" s="61" t="inlineStr">
        <is>
          <t>Days Sales Outstanding (DSO)</t>
        </is>
      </c>
      <c r="B15" s="66">
        <f>B10/B7*365</f>
        <v/>
      </c>
      <c r="C15" s="66">
        <f>C10/C7*365</f>
        <v/>
      </c>
      <c r="D15" s="66">
        <f>D10/D7*365</f>
        <v/>
      </c>
      <c r="E15" s="67">
        <f>Assumptions!$B$14</f>
        <v/>
      </c>
      <c r="F15" s="67">
        <f>Assumptions!$B$14</f>
        <v/>
      </c>
      <c r="G15" s="67">
        <f>Assumptions!$B$14</f>
        <v/>
      </c>
      <c r="H15" s="67">
        <f>Assumptions!$B$14</f>
        <v/>
      </c>
      <c r="I15" s="67">
        <f>Assumptions!$B$14</f>
        <v/>
      </c>
    </row>
    <row r="16" ht="15" customHeight="1" s="37">
      <c r="A16" s="61" t="inlineStr">
        <is>
          <t>Days Inventory Outstanding (DIO)</t>
        </is>
      </c>
      <c r="B16" s="66">
        <f>B11/B8*365</f>
        <v/>
      </c>
      <c r="C16" s="66">
        <f>C11/C8*365</f>
        <v/>
      </c>
      <c r="D16" s="66">
        <f>D11/D8*365</f>
        <v/>
      </c>
      <c r="E16" s="67">
        <f>Assumptions!$B$15</f>
        <v/>
      </c>
      <c r="F16" s="67">
        <f>Assumptions!$B$15</f>
        <v/>
      </c>
      <c r="G16" s="67">
        <f>Assumptions!$B$15</f>
        <v/>
      </c>
      <c r="H16" s="67">
        <f>Assumptions!$B$15</f>
        <v/>
      </c>
      <c r="I16" s="67">
        <f>Assumptions!$B$15</f>
        <v/>
      </c>
    </row>
    <row r="17" ht="15" customHeight="1" s="37">
      <c r="A17" s="61" t="inlineStr">
        <is>
          <t>Days Payable Outstanding (DPO)</t>
        </is>
      </c>
      <c r="B17" s="66">
        <f>B12/B8*365</f>
        <v/>
      </c>
      <c r="C17" s="66">
        <f>C12/C8*365</f>
        <v/>
      </c>
      <c r="D17" s="66">
        <f>D12/D8*365</f>
        <v/>
      </c>
      <c r="E17" s="67">
        <f>Assumptions!$B$16</f>
        <v/>
      </c>
      <c r="F17" s="67">
        <f>Assumptions!$B$16</f>
        <v/>
      </c>
      <c r="G17" s="67">
        <f>Assumptions!$B$16</f>
        <v/>
      </c>
      <c r="H17" s="67">
        <f>Assumptions!$B$16</f>
        <v/>
      </c>
      <c r="I17" s="67">
        <f>Assumptions!$B$16</f>
        <v/>
      </c>
    </row>
    <row r="19" ht="15" customHeight="1" s="37">
      <c r="A19" s="47" t="inlineStr">
        <is>
          <t>Cash Conversion Cycle (days)</t>
        </is>
      </c>
      <c r="B19" s="66">
        <f>B15+B16-B17</f>
        <v/>
      </c>
      <c r="C19" s="66">
        <f>C15+C16-C17</f>
        <v/>
      </c>
      <c r="D19" s="66">
        <f>D15+D16-D17</f>
        <v/>
      </c>
      <c r="E19" s="66">
        <f>E15+E16-E17</f>
        <v/>
      </c>
      <c r="F19" s="66">
        <f>F15+F16-F17</f>
        <v/>
      </c>
      <c r="G19" s="66">
        <f>G15+G16-G17</f>
        <v/>
      </c>
      <c r="H19" s="66">
        <f>H15+H16-H17</f>
        <v/>
      </c>
      <c r="I19" s="66">
        <f>I15+I16-I17</f>
        <v/>
      </c>
    </row>
    <row r="21" ht="15" customHeight="1" s="37">
      <c r="A21" s="61" t="inlineStr">
        <is>
          <t>Receivables Turnover (x)</t>
        </is>
      </c>
      <c r="B21" s="68">
        <f>365/B15</f>
        <v/>
      </c>
      <c r="C21" s="68">
        <f>365/C15</f>
        <v/>
      </c>
      <c r="D21" s="68">
        <f>365/D15</f>
        <v/>
      </c>
      <c r="E21" s="68">
        <f>365/E15</f>
        <v/>
      </c>
      <c r="F21" s="68">
        <f>365/F15</f>
        <v/>
      </c>
      <c r="G21" s="68">
        <f>365/G15</f>
        <v/>
      </c>
      <c r="H21" s="68">
        <f>365/H15</f>
        <v/>
      </c>
      <c r="I21" s="68">
        <f>365/I15</f>
        <v/>
      </c>
    </row>
    <row r="22" ht="15" customHeight="1" s="37">
      <c r="A22" s="61" t="inlineStr">
        <is>
          <t>Inventory Turnover (x)</t>
        </is>
      </c>
      <c r="B22" s="68">
        <f>365/B16</f>
        <v/>
      </c>
      <c r="C22" s="68">
        <f>365/C16</f>
        <v/>
      </c>
      <c r="D22" s="68">
        <f>365/D16</f>
        <v/>
      </c>
      <c r="E22" s="68">
        <f>365/E16</f>
        <v/>
      </c>
      <c r="F22" s="68">
        <f>365/F16</f>
        <v/>
      </c>
      <c r="G22" s="68">
        <f>365/G16</f>
        <v/>
      </c>
      <c r="H22" s="68">
        <f>365/H16</f>
        <v/>
      </c>
      <c r="I22" s="68">
        <f>365/I16</f>
        <v/>
      </c>
    </row>
    <row r="23" ht="15" customHeight="1" s="37">
      <c r="A23" s="61" t="inlineStr">
        <is>
          <t>Payables Turnover (x)</t>
        </is>
      </c>
      <c r="B23" s="68">
        <f>365/B17</f>
        <v/>
      </c>
      <c r="C23" s="68">
        <f>365/C17</f>
        <v/>
      </c>
      <c r="D23" s="68">
        <f>365/D17</f>
        <v/>
      </c>
      <c r="E23" s="68">
        <f>365/E17</f>
        <v/>
      </c>
      <c r="F23" s="68">
        <f>365/F17</f>
        <v/>
      </c>
      <c r="G23" s="68">
        <f>365/G17</f>
        <v/>
      </c>
      <c r="H23" s="68">
        <f>365/H17</f>
        <v/>
      </c>
      <c r="I23" s="68">
        <f>365/I17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6" min="1" max="1"/>
    <col width="11" customWidth="1" style="36" min="2" max="9"/>
  </cols>
  <sheetData>
    <row r="1" ht="17.25" customHeight="1" s="37">
      <c r="A1" s="50" t="inlineStr">
        <is>
          <t>Apex Solutions Inc.</t>
        </is>
      </c>
    </row>
    <row r="2" ht="15" customHeight="1" s="37">
      <c r="A2" s="57" t="inlineStr">
        <is>
          <t>Cash Flow Statement (Indirect Method)  ($ millions)</t>
        </is>
      </c>
    </row>
    <row r="5" ht="15" customHeight="1" s="37">
      <c r="A5" s="58" t="n"/>
      <c r="B5" s="59" t="inlineStr">
        <is>
          <t>FY21A</t>
        </is>
      </c>
      <c r="C5" s="59" t="inlineStr">
        <is>
          <t>FY22A</t>
        </is>
      </c>
      <c r="D5" s="59" t="inlineStr">
        <is>
          <t>FY23A</t>
        </is>
      </c>
      <c r="E5" s="59" t="inlineStr">
        <is>
          <t>FY24F</t>
        </is>
      </c>
      <c r="F5" s="59" t="inlineStr">
        <is>
          <t>FY25F</t>
        </is>
      </c>
      <c r="G5" s="59" t="inlineStr">
        <is>
          <t>FY26F</t>
        </is>
      </c>
      <c r="H5" s="59" t="inlineStr">
        <is>
          <t>FY27F</t>
        </is>
      </c>
      <c r="I5" s="59" t="inlineStr">
        <is>
          <t>FY28F</t>
        </is>
      </c>
    </row>
    <row r="6" ht="15" customHeight="1" s="37">
      <c r="B6" s="60" t="inlineStr">
        <is>
          <t>Historical (Actual)</t>
        </is>
      </c>
      <c r="E6" s="60" t="inlineStr">
        <is>
          <t>Forecast</t>
        </is>
      </c>
    </row>
    <row r="7" ht="15" customHeight="1" s="37">
      <c r="A7" s="47" t="inlineStr">
        <is>
          <t>Cash Flow from Operating Activities</t>
        </is>
      </c>
    </row>
    <row r="8" ht="15" customHeight="1" s="37">
      <c r="A8" s="61" t="inlineStr">
        <is>
          <t xml:space="preserve">   Net Income</t>
        </is>
      </c>
      <c r="B8" s="65">
        <f>'Income Statement'!B41</f>
        <v/>
      </c>
      <c r="C8" s="65">
        <f>'Income Statement'!C41</f>
        <v/>
      </c>
      <c r="D8" s="65">
        <f>'Income Statement'!D41</f>
        <v/>
      </c>
      <c r="E8" s="65">
        <f>'Income Statement'!E41</f>
        <v/>
      </c>
      <c r="F8" s="65">
        <f>'Income Statement'!F41</f>
        <v/>
      </c>
      <c r="G8" s="65">
        <f>'Income Statement'!G41</f>
        <v/>
      </c>
      <c r="H8" s="65">
        <f>'Income Statement'!H41</f>
        <v/>
      </c>
      <c r="I8" s="65">
        <f>'Income Statement'!I41</f>
        <v/>
      </c>
    </row>
    <row r="9" ht="15" customHeight="1" s="37">
      <c r="A9" s="61" t="inlineStr">
        <is>
          <t xml:space="preserve">   (+) Depreciation &amp; Amortization</t>
        </is>
      </c>
      <c r="B9" s="65">
        <f>'Depreciation &amp; Capex'!B16</f>
        <v/>
      </c>
      <c r="C9" s="65">
        <f>'Depreciation &amp; Capex'!C16</f>
        <v/>
      </c>
      <c r="D9" s="65">
        <f>'Depreciation &amp; Capex'!D16</f>
        <v/>
      </c>
      <c r="E9" s="65">
        <f>'Depreciation &amp; Capex'!E16</f>
        <v/>
      </c>
      <c r="F9" s="65">
        <f>'Depreciation &amp; Capex'!F16</f>
        <v/>
      </c>
      <c r="G9" s="65">
        <f>'Depreciation &amp; Capex'!G16</f>
        <v/>
      </c>
      <c r="H9" s="65">
        <f>'Depreciation &amp; Capex'!H16</f>
        <v/>
      </c>
      <c r="I9" s="65">
        <f>'Depreciation &amp; Capex'!I16</f>
        <v/>
      </c>
    </row>
    <row r="10" ht="15" customHeight="1" s="37">
      <c r="A10" s="61" t="inlineStr">
        <is>
          <t xml:space="preserve">   (-) Increase in Accounts Receivable</t>
        </is>
      </c>
      <c r="B10" s="56" t="n">
        <v>-200</v>
      </c>
      <c r="C10" s="56" t="n">
        <v>-270</v>
      </c>
      <c r="D10" s="56" t="n">
        <v>-293</v>
      </c>
      <c r="E10" s="62">
        <f>-('Working Capital'!E10-'Working Capital'!D10)</f>
        <v/>
      </c>
      <c r="F10" s="62">
        <f>-('Working Capital'!F10-'Working Capital'!E10)</f>
        <v/>
      </c>
      <c r="G10" s="62">
        <f>-('Working Capital'!G10-'Working Capital'!F10)</f>
        <v/>
      </c>
      <c r="H10" s="62">
        <f>-('Working Capital'!H10-'Working Capital'!G10)</f>
        <v/>
      </c>
      <c r="I10" s="62">
        <f>-('Working Capital'!I10-'Working Capital'!H10)</f>
        <v/>
      </c>
    </row>
    <row r="11" ht="15" customHeight="1" s="37">
      <c r="A11" s="61" t="inlineStr">
        <is>
          <t xml:space="preserve">   (-) Increase in Inventory</t>
        </is>
      </c>
      <c r="B11" s="56" t="n">
        <v>-300</v>
      </c>
      <c r="C11" s="56" t="n">
        <v>-457</v>
      </c>
      <c r="D11" s="56" t="n">
        <v>-478</v>
      </c>
      <c r="E11" s="62">
        <f>-('Working Capital'!E11-'Working Capital'!D11)</f>
        <v/>
      </c>
      <c r="F11" s="62">
        <f>-('Working Capital'!F11-'Working Capital'!E11)</f>
        <v/>
      </c>
      <c r="G11" s="62">
        <f>-('Working Capital'!G11-'Working Capital'!F11)</f>
        <v/>
      </c>
      <c r="H11" s="62">
        <f>-('Working Capital'!H11-'Working Capital'!G11)</f>
        <v/>
      </c>
      <c r="I11" s="62">
        <f>-('Working Capital'!I11-'Working Capital'!H11)</f>
        <v/>
      </c>
    </row>
    <row r="12" ht="15" customHeight="1" s="37">
      <c r="A12" s="61" t="inlineStr">
        <is>
          <t xml:space="preserve">   (+) Increase in Accounts Payable</t>
        </is>
      </c>
      <c r="B12" s="56" t="n">
        <v>150</v>
      </c>
      <c r="C12" s="56" t="n">
        <v>248</v>
      </c>
      <c r="D12" s="56" t="n">
        <v>388</v>
      </c>
      <c r="E12" s="62">
        <f>'Working Capital'!E12-'Working Capital'!D12</f>
        <v/>
      </c>
      <c r="F12" s="62">
        <f>'Working Capital'!F12-'Working Capital'!E12</f>
        <v/>
      </c>
      <c r="G12" s="62">
        <f>'Working Capital'!G12-'Working Capital'!F12</f>
        <v/>
      </c>
      <c r="H12" s="62">
        <f>'Working Capital'!H12-'Working Capital'!G12</f>
        <v/>
      </c>
      <c r="I12" s="62">
        <f>'Working Capital'!I12-'Working Capital'!H12</f>
        <v/>
      </c>
    </row>
    <row r="13" ht="15" customHeight="1" s="37">
      <c r="A13" s="47" t="inlineStr">
        <is>
          <t>Cash Flow from Operations</t>
        </is>
      </c>
      <c r="B13" s="63">
        <f>SUM(B8:B12)</f>
        <v/>
      </c>
      <c r="C13" s="63">
        <f>SUM(C8:C12)</f>
        <v/>
      </c>
      <c r="D13" s="63">
        <f>SUM(D8:D12)</f>
        <v/>
      </c>
      <c r="E13" s="63">
        <f>SUM(E8:E12)</f>
        <v/>
      </c>
      <c r="F13" s="63">
        <f>SUM(F8:F12)</f>
        <v/>
      </c>
      <c r="G13" s="63">
        <f>SUM(G8:G12)</f>
        <v/>
      </c>
      <c r="H13" s="63">
        <f>SUM(H8:H12)</f>
        <v/>
      </c>
      <c r="I13" s="63">
        <f>SUM(I8:I12)</f>
        <v/>
      </c>
    </row>
    <row r="15" ht="15" customHeight="1" s="37">
      <c r="A15" s="47" t="inlineStr">
        <is>
          <t>Cash Flow from Investing Activities</t>
        </is>
      </c>
    </row>
    <row r="16" ht="15" customHeight="1" s="37">
      <c r="A16" s="61" t="inlineStr">
        <is>
          <t xml:space="preserve">   (-) Capital Expenditure</t>
        </is>
      </c>
      <c r="B16" s="65">
        <f>-'Depreciation &amp; Capex'!B9</f>
        <v/>
      </c>
      <c r="C16" s="65">
        <f>-'Depreciation &amp; Capex'!C9</f>
        <v/>
      </c>
      <c r="D16" s="65">
        <f>-'Depreciation &amp; Capex'!D9</f>
        <v/>
      </c>
      <c r="E16" s="65">
        <f>-'Depreciation &amp; Capex'!E9</f>
        <v/>
      </c>
      <c r="F16" s="65">
        <f>-'Depreciation &amp; Capex'!F9</f>
        <v/>
      </c>
      <c r="G16" s="65">
        <f>-'Depreciation &amp; Capex'!G9</f>
        <v/>
      </c>
      <c r="H16" s="65">
        <f>-'Depreciation &amp; Capex'!H9</f>
        <v/>
      </c>
      <c r="I16" s="65">
        <f>-'Depreciation &amp; Capex'!I9</f>
        <v/>
      </c>
    </row>
    <row r="17" ht="15" customHeight="1" s="37">
      <c r="A17" s="47" t="inlineStr">
        <is>
          <t>Cash Flow from Investing</t>
        </is>
      </c>
      <c r="B17" s="63">
        <f>B16</f>
        <v/>
      </c>
      <c r="C17" s="63">
        <f>C16</f>
        <v/>
      </c>
      <c r="D17" s="63">
        <f>D16</f>
        <v/>
      </c>
      <c r="E17" s="63">
        <f>E16</f>
        <v/>
      </c>
      <c r="F17" s="63">
        <f>F16</f>
        <v/>
      </c>
      <c r="G17" s="63">
        <f>G16</f>
        <v/>
      </c>
      <c r="H17" s="63">
        <f>H16</f>
        <v/>
      </c>
      <c r="I17" s="63">
        <f>I16</f>
        <v/>
      </c>
    </row>
    <row r="19" ht="15" customHeight="1" s="37">
      <c r="A19" s="47" t="inlineStr">
        <is>
          <t>Cash Flow from Financing Activities</t>
        </is>
      </c>
    </row>
    <row r="20" ht="15" customHeight="1" s="37">
      <c r="A20" s="61" t="inlineStr">
        <is>
          <t xml:space="preserve">   (+) Proceeds from New Term Loan</t>
        </is>
      </c>
      <c r="B20" s="65">
        <f>'Debt Schedule'!B8</f>
        <v/>
      </c>
      <c r="C20" s="65">
        <f>'Debt Schedule'!C8</f>
        <v/>
      </c>
      <c r="D20" s="65">
        <f>'Debt Schedule'!D8</f>
        <v/>
      </c>
      <c r="E20" s="65">
        <f>'Debt Schedule'!E8</f>
        <v/>
      </c>
      <c r="F20" s="65">
        <f>'Debt Schedule'!F8</f>
        <v/>
      </c>
      <c r="G20" s="65">
        <f>'Debt Schedule'!G8</f>
        <v/>
      </c>
      <c r="H20" s="65">
        <f>'Debt Schedule'!H8</f>
        <v/>
      </c>
      <c r="I20" s="65">
        <f>'Debt Schedule'!I8</f>
        <v/>
      </c>
    </row>
    <row r="21" ht="15" customHeight="1" s="37">
      <c r="A21" s="61" t="inlineStr">
        <is>
          <t xml:space="preserve">   (-) Repayment of Term Loan</t>
        </is>
      </c>
      <c r="B21" s="65">
        <f>-'Debt Schedule'!B9</f>
        <v/>
      </c>
      <c r="C21" s="65">
        <f>-'Debt Schedule'!C9</f>
        <v/>
      </c>
      <c r="D21" s="65">
        <f>-'Debt Schedule'!D9</f>
        <v/>
      </c>
      <c r="E21" s="65">
        <f>-'Debt Schedule'!E9</f>
        <v/>
      </c>
      <c r="F21" s="65">
        <f>-'Debt Schedule'!F9</f>
        <v/>
      </c>
      <c r="G21" s="65">
        <f>-'Debt Schedule'!G9</f>
        <v/>
      </c>
      <c r="H21" s="65">
        <f>-'Debt Schedule'!H9</f>
        <v/>
      </c>
      <c r="I21" s="65">
        <f>-'Debt Schedule'!I9</f>
        <v/>
      </c>
    </row>
    <row r="22" ht="15" customHeight="1" s="37">
      <c r="A22" s="47" t="inlineStr">
        <is>
          <t>Cash Flow from Financing</t>
        </is>
      </c>
      <c r="B22" s="63">
        <f>B20+B21</f>
        <v/>
      </c>
      <c r="C22" s="63">
        <f>C20+C21</f>
        <v/>
      </c>
      <c r="D22" s="63">
        <f>D20+D21</f>
        <v/>
      </c>
      <c r="E22" s="63">
        <f>E20+E21</f>
        <v/>
      </c>
      <c r="F22" s="63">
        <f>F20+F21</f>
        <v/>
      </c>
      <c r="G22" s="63">
        <f>G20+G21</f>
        <v/>
      </c>
      <c r="H22" s="63">
        <f>H20+H21</f>
        <v/>
      </c>
      <c r="I22" s="63">
        <f>I20+I21</f>
        <v/>
      </c>
    </row>
    <row r="24" ht="15" customHeight="1" s="37">
      <c r="A24" s="47" t="inlineStr">
        <is>
          <t>Net Change in Cash</t>
        </is>
      </c>
      <c r="B24" s="63">
        <f>B13+B17+B22</f>
        <v/>
      </c>
      <c r="C24" s="63">
        <f>C13+C17+C22</f>
        <v/>
      </c>
      <c r="D24" s="63">
        <f>D13+D17+D22</f>
        <v/>
      </c>
      <c r="E24" s="63">
        <f>E13+E17+E22</f>
        <v/>
      </c>
      <c r="F24" s="63">
        <f>F13+F17+F22</f>
        <v/>
      </c>
      <c r="G24" s="63">
        <f>G13+G17+G22</f>
        <v/>
      </c>
      <c r="H24" s="63">
        <f>H13+H17+H22</f>
        <v/>
      </c>
      <c r="I24" s="63">
        <f>I13+I17+I22</f>
        <v/>
      </c>
    </row>
    <row r="26" ht="15" customHeight="1" s="37">
      <c r="A26" s="61" t="inlineStr">
        <is>
          <t>Beginning Cash &amp; Cash Equivalents</t>
        </is>
      </c>
      <c r="B26" s="56" t="n">
        <v>800</v>
      </c>
      <c r="C26" s="62">
        <f>B27</f>
        <v/>
      </c>
      <c r="D26" s="62">
        <f>C27</f>
        <v/>
      </c>
      <c r="E26" s="62">
        <f>D27</f>
        <v/>
      </c>
      <c r="F26" s="62">
        <f>E27</f>
        <v/>
      </c>
      <c r="G26" s="62">
        <f>F27</f>
        <v/>
      </c>
      <c r="H26" s="62">
        <f>G27</f>
        <v/>
      </c>
      <c r="I26" s="62">
        <f>H27</f>
        <v/>
      </c>
    </row>
    <row r="27" ht="15" customHeight="1" s="37">
      <c r="A27" s="47" t="inlineStr">
        <is>
          <t>Ending Cash &amp; Cash Equivalents</t>
        </is>
      </c>
      <c r="B27" s="63">
        <f>B26+B24</f>
        <v/>
      </c>
      <c r="C27" s="63">
        <f>C26+C24</f>
        <v/>
      </c>
      <c r="D27" s="63">
        <f>D26+D24</f>
        <v/>
      </c>
      <c r="E27" s="63">
        <f>E26+E24</f>
        <v/>
      </c>
      <c r="F27" s="63">
        <f>F26+F24</f>
        <v/>
      </c>
      <c r="G27" s="63">
        <f>G26+G24</f>
        <v/>
      </c>
      <c r="H27" s="63">
        <f>H26+H24</f>
        <v/>
      </c>
      <c r="I27" s="63">
        <f>I26+I24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6" min="1" max="1"/>
    <col width="11" customWidth="1" style="36" min="2" max="9"/>
  </cols>
  <sheetData>
    <row r="1" ht="17.25" customHeight="1" s="37">
      <c r="A1" s="50" t="inlineStr">
        <is>
          <t>Apex Solutions Inc.</t>
        </is>
      </c>
    </row>
    <row r="2" ht="15" customHeight="1" s="37">
      <c r="A2" s="57" t="inlineStr">
        <is>
          <t>Debt &amp; Interest Schedule (Supporting Schedule)  ($ millions)</t>
        </is>
      </c>
    </row>
    <row r="5" ht="15" customHeight="1" s="37">
      <c r="A5" s="58" t="n"/>
      <c r="B5" s="59" t="inlineStr">
        <is>
          <t>FY21A</t>
        </is>
      </c>
      <c r="C5" s="59" t="inlineStr">
        <is>
          <t>FY22A</t>
        </is>
      </c>
      <c r="D5" s="59" t="inlineStr">
        <is>
          <t>FY23A</t>
        </is>
      </c>
      <c r="E5" s="59" t="inlineStr">
        <is>
          <t>FY24F</t>
        </is>
      </c>
      <c r="F5" s="59" t="inlineStr">
        <is>
          <t>FY25F</t>
        </is>
      </c>
      <c r="G5" s="59" t="inlineStr">
        <is>
          <t>FY26F</t>
        </is>
      </c>
      <c r="H5" s="59" t="inlineStr">
        <is>
          <t>FY27F</t>
        </is>
      </c>
      <c r="I5" s="59" t="inlineStr">
        <is>
          <t>FY28F</t>
        </is>
      </c>
    </row>
    <row r="6" ht="15" customHeight="1" s="37">
      <c r="B6" s="60" t="inlineStr">
        <is>
          <t>Historical (Actual)</t>
        </is>
      </c>
      <c r="E6" s="60" t="inlineStr">
        <is>
          <t>Forecast</t>
        </is>
      </c>
    </row>
    <row r="7" ht="15" customHeight="1" s="37">
      <c r="A7" s="61" t="inlineStr">
        <is>
          <t>Beginning Term Loan Balance</t>
        </is>
      </c>
      <c r="B7" s="56" t="n">
        <v>18000</v>
      </c>
      <c r="C7" s="62">
        <f>B10</f>
        <v/>
      </c>
      <c r="D7" s="62">
        <f>C10</f>
        <v/>
      </c>
      <c r="E7" s="62">
        <f>D10</f>
        <v/>
      </c>
      <c r="F7" s="62">
        <f>E10</f>
        <v/>
      </c>
      <c r="G7" s="62">
        <f>F10</f>
        <v/>
      </c>
      <c r="H7" s="62">
        <f>G10</f>
        <v/>
      </c>
      <c r="I7" s="62">
        <f>H10</f>
        <v/>
      </c>
    </row>
    <row r="8" ht="15" customHeight="1" s="37">
      <c r="A8" s="61" t="inlineStr">
        <is>
          <t xml:space="preserve">   (+) New Issuance</t>
        </is>
      </c>
      <c r="B8" s="56" t="n">
        <v>2200</v>
      </c>
      <c r="C8" s="56" t="n">
        <v>2700</v>
      </c>
      <c r="D8" s="56" t="n">
        <v>3000</v>
      </c>
      <c r="E8" s="65">
        <f>Assumptions!$B$20</f>
        <v/>
      </c>
      <c r="F8" s="65">
        <f>Assumptions!$B$20</f>
        <v/>
      </c>
      <c r="G8" s="65">
        <f>Assumptions!$B$20</f>
        <v/>
      </c>
      <c r="H8" s="65">
        <f>Assumptions!$B$20</f>
        <v/>
      </c>
      <c r="I8" s="65">
        <f>Assumptions!$B$20</f>
        <v/>
      </c>
    </row>
    <row r="9" ht="15" customHeight="1" s="37">
      <c r="A9" s="61" t="inlineStr">
        <is>
          <t xml:space="preserve">   (-) Repayment</t>
        </is>
      </c>
      <c r="B9" s="56" t="n">
        <v>200</v>
      </c>
      <c r="C9" s="56" t="n">
        <v>200</v>
      </c>
      <c r="D9" s="56" t="n">
        <v>300</v>
      </c>
      <c r="E9" s="65">
        <f>Assumptions!$B$19</f>
        <v/>
      </c>
      <c r="F9" s="65">
        <f>Assumptions!$B$19</f>
        <v/>
      </c>
      <c r="G9" s="65">
        <f>Assumptions!$B$19</f>
        <v/>
      </c>
      <c r="H9" s="65">
        <f>Assumptions!$B$19</f>
        <v/>
      </c>
      <c r="I9" s="65">
        <f>Assumptions!$B$19</f>
        <v/>
      </c>
    </row>
    <row r="10" ht="15" customHeight="1" s="37">
      <c r="A10" s="47" t="inlineStr">
        <is>
          <t>Ending Term Loan Balance</t>
        </is>
      </c>
      <c r="B10" s="63">
        <f>B7+B8-B9</f>
        <v/>
      </c>
      <c r="C10" s="63">
        <f>C7+C8-C9</f>
        <v/>
      </c>
      <c r="D10" s="63">
        <f>D7+D8-D9</f>
        <v/>
      </c>
      <c r="E10" s="63">
        <f>E7+E8-E9</f>
        <v/>
      </c>
      <c r="F10" s="63">
        <f>F7+F8-F9</f>
        <v/>
      </c>
      <c r="G10" s="63">
        <f>G7+G8-G9</f>
        <v/>
      </c>
      <c r="H10" s="63">
        <f>H7+H8-H9</f>
        <v/>
      </c>
      <c r="I10" s="63">
        <f>I7+I8-I9</f>
        <v/>
      </c>
    </row>
    <row r="12" ht="15" customHeight="1" s="37">
      <c r="A12" s="61" t="inlineStr">
        <is>
          <t>Average Term Loan Balance</t>
        </is>
      </c>
      <c r="B12" s="62">
        <f>AVERAGE(B7,B10)</f>
        <v/>
      </c>
      <c r="C12" s="62">
        <f>AVERAGE(C7,C10)</f>
        <v/>
      </c>
      <c r="D12" s="62">
        <f>AVERAGE(D7,D10)</f>
        <v/>
      </c>
      <c r="E12" s="62">
        <f>AVERAGE(E7,E10)</f>
        <v/>
      </c>
      <c r="F12" s="62">
        <f>AVERAGE(F7,F10)</f>
        <v/>
      </c>
      <c r="G12" s="62">
        <f>AVERAGE(G7,G10)</f>
        <v/>
      </c>
      <c r="H12" s="62">
        <f>AVERAGE(H7,H10)</f>
        <v/>
      </c>
      <c r="I12" s="62">
        <f>AVERAGE(I7,I10)</f>
        <v/>
      </c>
    </row>
    <row r="13" ht="15" customHeight="1" s="37">
      <c r="A13" s="61" t="inlineStr">
        <is>
          <t>Interest Expense</t>
        </is>
      </c>
      <c r="B13" s="62">
        <f>B12*Assumptions!$B$17</f>
        <v/>
      </c>
      <c r="C13" s="62">
        <f>C12*Assumptions!$B$17</f>
        <v/>
      </c>
      <c r="D13" s="62">
        <f>D12*Assumptions!$B$17</f>
        <v/>
      </c>
      <c r="E13" s="62">
        <f>E12*Assumptions!$B$17</f>
        <v/>
      </c>
      <c r="F13" s="62">
        <f>F12*Assumptions!$B$17</f>
        <v/>
      </c>
      <c r="G13" s="62">
        <f>G12*Assumptions!$B$17</f>
        <v/>
      </c>
      <c r="H13" s="62">
        <f>H12*Assumptions!$B$17</f>
        <v/>
      </c>
      <c r="I13" s="62">
        <f>I12*Assumptions!$B$17</f>
        <v/>
      </c>
    </row>
    <row r="15" ht="15" customHeight="1" s="37">
      <c r="A15" s="61" t="inlineStr">
        <is>
          <t>Beginning Cash &amp; Cash Equivalents</t>
        </is>
      </c>
      <c r="B15" s="65">
        <f>'Cash Flow Statement'!B26</f>
        <v/>
      </c>
      <c r="C15" s="65">
        <f>'Cash Flow Statement'!C26</f>
        <v/>
      </c>
      <c r="D15" s="65">
        <f>'Cash Flow Statement'!D26</f>
        <v/>
      </c>
      <c r="E15" s="65">
        <f>'Cash Flow Statement'!E26</f>
        <v/>
      </c>
      <c r="F15" s="65">
        <f>'Cash Flow Statement'!F26</f>
        <v/>
      </c>
      <c r="G15" s="65">
        <f>'Cash Flow Statement'!G26</f>
        <v/>
      </c>
      <c r="H15" s="65">
        <f>'Cash Flow Statement'!H26</f>
        <v/>
      </c>
      <c r="I15" s="65">
        <f>'Cash Flow Statement'!I26</f>
        <v/>
      </c>
    </row>
    <row r="16" ht="15" customHeight="1" s="37">
      <c r="A16" s="61" t="inlineStr">
        <is>
          <t>Ending Cash &amp; Cash Equivalents</t>
        </is>
      </c>
      <c r="B16" s="65">
        <f>'Cash Flow Statement'!B27</f>
        <v/>
      </c>
      <c r="C16" s="65">
        <f>'Cash Flow Statement'!C27</f>
        <v/>
      </c>
      <c r="D16" s="65">
        <f>'Cash Flow Statement'!D27</f>
        <v/>
      </c>
      <c r="E16" s="65">
        <f>'Cash Flow Statement'!E27</f>
        <v/>
      </c>
      <c r="F16" s="65">
        <f>'Cash Flow Statement'!F27</f>
        <v/>
      </c>
      <c r="G16" s="65">
        <f>'Cash Flow Statement'!G27</f>
        <v/>
      </c>
      <c r="H16" s="65">
        <f>'Cash Flow Statement'!H27</f>
        <v/>
      </c>
      <c r="I16" s="65">
        <f>'Cash Flow Statement'!I27</f>
        <v/>
      </c>
    </row>
    <row r="17" ht="15" customHeight="1" s="37">
      <c r="A17" s="61" t="inlineStr">
        <is>
          <t>Average Cash Balance (memo only)</t>
        </is>
      </c>
      <c r="B17" s="62">
        <f>AVERAGE(B15,B16)</f>
        <v/>
      </c>
      <c r="C17" s="62">
        <f>AVERAGE(C15,C16)</f>
        <v/>
      </c>
      <c r="D17" s="62">
        <f>AVERAGE(D15,D16)</f>
        <v/>
      </c>
      <c r="E17" s="62">
        <f>AVERAGE(E15,E16)</f>
        <v/>
      </c>
      <c r="F17" s="62">
        <f>AVERAGE(F15,F16)</f>
        <v/>
      </c>
      <c r="G17" s="62">
        <f>AVERAGE(G15,G16)</f>
        <v/>
      </c>
      <c r="H17" s="62">
        <f>AVERAGE(H15,H16)</f>
        <v/>
      </c>
      <c r="I17" s="62">
        <f>AVERAGE(I15,I16)</f>
        <v/>
      </c>
    </row>
    <row r="19" ht="15" customHeight="1" s="37">
      <c r="A19" s="61" t="inlineStr">
        <is>
          <t>Interest Income</t>
        </is>
      </c>
      <c r="B19" s="62">
        <f>B15*Assumptions!$B$18</f>
        <v/>
      </c>
      <c r="C19" s="62">
        <f>C15*Assumptions!$B$18</f>
        <v/>
      </c>
      <c r="D19" s="62">
        <f>D15*Assumptions!$B$18</f>
        <v/>
      </c>
      <c r="E19" s="62">
        <f>E15*Assumptions!$B$18</f>
        <v/>
      </c>
      <c r="F19" s="62">
        <f>F15*Assumptions!$B$18</f>
        <v/>
      </c>
      <c r="G19" s="62">
        <f>G15*Assumptions!$B$18</f>
        <v/>
      </c>
      <c r="H19" s="62">
        <f>H15*Assumptions!$B$18</f>
        <v/>
      </c>
      <c r="I19" s="62">
        <f>I15*Assumptions!$B$18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4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baseColWidth="8" defaultColWidth="8.6796875" defaultRowHeight="15" zeroHeight="0" outlineLevelRow="0"/>
  <cols>
    <col width="34" customWidth="1" style="36" min="1" max="1"/>
    <col width="11" customWidth="1" style="36" min="2" max="9"/>
  </cols>
  <sheetData>
    <row r="1" ht="17.25" customHeight="1" s="37">
      <c r="A1" s="50" t="inlineStr">
        <is>
          <t>Apex Solutions Inc.</t>
        </is>
      </c>
    </row>
    <row r="2" ht="15" customHeight="1" s="37">
      <c r="A2" s="57" t="inlineStr">
        <is>
          <t>Balance Sheet  ($ millions)</t>
        </is>
      </c>
    </row>
    <row r="5" ht="15" customHeight="1" s="37">
      <c r="A5" s="58" t="n"/>
      <c r="B5" s="59" t="inlineStr">
        <is>
          <t>FY21A</t>
        </is>
      </c>
      <c r="C5" s="59" t="inlineStr">
        <is>
          <t>FY22A</t>
        </is>
      </c>
      <c r="D5" s="59" t="inlineStr">
        <is>
          <t>FY23A</t>
        </is>
      </c>
      <c r="E5" s="59" t="inlineStr">
        <is>
          <t>FY24F</t>
        </is>
      </c>
      <c r="F5" s="59" t="inlineStr">
        <is>
          <t>FY25F</t>
        </is>
      </c>
      <c r="G5" s="59" t="inlineStr">
        <is>
          <t>FY26F</t>
        </is>
      </c>
      <c r="H5" s="59" t="inlineStr">
        <is>
          <t>FY27F</t>
        </is>
      </c>
      <c r="I5" s="59" t="inlineStr">
        <is>
          <t>FY28F</t>
        </is>
      </c>
    </row>
    <row r="6" ht="15" customHeight="1" s="37">
      <c r="B6" s="60" t="inlineStr">
        <is>
          <t>Historical (Actual)</t>
        </is>
      </c>
      <c r="E6" s="60" t="inlineStr">
        <is>
          <t>Forecast</t>
        </is>
      </c>
    </row>
    <row r="7" ht="15" customHeight="1" s="37">
      <c r="A7" s="47" t="inlineStr">
        <is>
          <t>ASSETS</t>
        </is>
      </c>
    </row>
    <row r="8" ht="15" customHeight="1" s="37">
      <c r="A8" s="61" t="inlineStr">
        <is>
          <t xml:space="preserve">   Cash &amp; Cash Equivalents</t>
        </is>
      </c>
      <c r="B8" s="65">
        <f>'Cash Flow Statement'!B27</f>
        <v/>
      </c>
      <c r="C8" s="65">
        <f>'Cash Flow Statement'!C27</f>
        <v/>
      </c>
      <c r="D8" s="65">
        <f>'Cash Flow Statement'!D27</f>
        <v/>
      </c>
      <c r="E8" s="65">
        <f>'Cash Flow Statement'!E27</f>
        <v/>
      </c>
      <c r="F8" s="65">
        <f>'Cash Flow Statement'!F27</f>
        <v/>
      </c>
      <c r="G8" s="65">
        <f>'Cash Flow Statement'!G27</f>
        <v/>
      </c>
      <c r="H8" s="65">
        <f>'Cash Flow Statement'!H27</f>
        <v/>
      </c>
      <c r="I8" s="65">
        <f>'Cash Flow Statement'!I27</f>
        <v/>
      </c>
    </row>
    <row r="9" ht="15" customHeight="1" s="37">
      <c r="A9" s="61" t="inlineStr">
        <is>
          <t xml:space="preserve">   Accounts Receivable</t>
        </is>
      </c>
      <c r="B9" s="65">
        <f>'Working Capital'!B10</f>
        <v/>
      </c>
      <c r="C9" s="65">
        <f>'Working Capital'!C10</f>
        <v/>
      </c>
      <c r="D9" s="65">
        <f>'Working Capital'!D10</f>
        <v/>
      </c>
      <c r="E9" s="65">
        <f>'Working Capital'!E10</f>
        <v/>
      </c>
      <c r="F9" s="65">
        <f>'Working Capital'!F10</f>
        <v/>
      </c>
      <c r="G9" s="65">
        <f>'Working Capital'!G10</f>
        <v/>
      </c>
      <c r="H9" s="65">
        <f>'Working Capital'!H10</f>
        <v/>
      </c>
      <c r="I9" s="65">
        <f>'Working Capital'!I10</f>
        <v/>
      </c>
    </row>
    <row r="10" ht="15" customHeight="1" s="37">
      <c r="A10" s="61" t="inlineStr">
        <is>
          <t xml:space="preserve">   Inventory</t>
        </is>
      </c>
      <c r="B10" s="65">
        <f>'Working Capital'!B11</f>
        <v/>
      </c>
      <c r="C10" s="65">
        <f>'Working Capital'!C11</f>
        <v/>
      </c>
      <c r="D10" s="65">
        <f>'Working Capital'!D11</f>
        <v/>
      </c>
      <c r="E10" s="65">
        <f>'Working Capital'!E11</f>
        <v/>
      </c>
      <c r="F10" s="65">
        <f>'Working Capital'!F11</f>
        <v/>
      </c>
      <c r="G10" s="65">
        <f>'Working Capital'!G11</f>
        <v/>
      </c>
      <c r="H10" s="65">
        <f>'Working Capital'!H11</f>
        <v/>
      </c>
      <c r="I10" s="65">
        <f>'Working Capital'!I11</f>
        <v/>
      </c>
    </row>
    <row r="11" ht="15" customHeight="1" s="37">
      <c r="A11" s="47" t="inlineStr">
        <is>
          <t xml:space="preserve">   Total Current Assets</t>
        </is>
      </c>
      <c r="B11" s="63">
        <f>SUM(B8:B10)</f>
        <v/>
      </c>
      <c r="C11" s="63">
        <f>SUM(C8:C10)</f>
        <v/>
      </c>
      <c r="D11" s="63">
        <f>SUM(D8:D10)</f>
        <v/>
      </c>
      <c r="E11" s="63">
        <f>SUM(E8:E10)</f>
        <v/>
      </c>
      <c r="F11" s="63">
        <f>SUM(F8:F10)</f>
        <v/>
      </c>
      <c r="G11" s="63">
        <f>SUM(G8:G10)</f>
        <v/>
      </c>
      <c r="H11" s="63">
        <f>SUM(H8:H10)</f>
        <v/>
      </c>
      <c r="I11" s="63">
        <f>SUM(I8:I10)</f>
        <v/>
      </c>
    </row>
    <row r="13" ht="15" customHeight="1" s="37">
      <c r="A13" s="61" t="inlineStr">
        <is>
          <t xml:space="preserve">   Net Property, Plant &amp; Equipment</t>
        </is>
      </c>
      <c r="B13" s="65">
        <f>'Depreciation &amp; Capex'!B14</f>
        <v/>
      </c>
      <c r="C13" s="65">
        <f>'Depreciation &amp; Capex'!C14</f>
        <v/>
      </c>
      <c r="D13" s="65">
        <f>'Depreciation &amp; Capex'!D14</f>
        <v/>
      </c>
      <c r="E13" s="65">
        <f>'Depreciation &amp; Capex'!E14</f>
        <v/>
      </c>
      <c r="F13" s="65">
        <f>'Depreciation &amp; Capex'!F14</f>
        <v/>
      </c>
      <c r="G13" s="65">
        <f>'Depreciation &amp; Capex'!G14</f>
        <v/>
      </c>
      <c r="H13" s="65">
        <f>'Depreciation &amp; Capex'!H14</f>
        <v/>
      </c>
      <c r="I13" s="65">
        <f>'Depreciation &amp; Capex'!I14</f>
        <v/>
      </c>
    </row>
    <row r="14" ht="15" customHeight="1" s="37">
      <c r="A14" s="61" t="inlineStr">
        <is>
          <t xml:space="preserve">   Goodwill</t>
        </is>
      </c>
      <c r="B14" s="56" t="n">
        <v>2400</v>
      </c>
      <c r="C14" s="56" t="n">
        <v>2400</v>
      </c>
      <c r="D14" s="56" t="n">
        <v>2400</v>
      </c>
      <c r="E14" s="56" t="n">
        <v>2400</v>
      </c>
      <c r="F14" s="56" t="n">
        <v>2400</v>
      </c>
      <c r="G14" s="56" t="n">
        <v>2400</v>
      </c>
      <c r="H14" s="56" t="n">
        <v>2400</v>
      </c>
      <c r="I14" s="56" t="n">
        <v>2400</v>
      </c>
    </row>
    <row r="16" ht="15" customHeight="1" s="37">
      <c r="A16" s="47" t="inlineStr">
        <is>
          <t>TOTAL ASSETS</t>
        </is>
      </c>
      <c r="B16" s="63">
        <f>B11+B13+B14</f>
        <v/>
      </c>
      <c r="C16" s="63">
        <f>C11+C13+C14</f>
        <v/>
      </c>
      <c r="D16" s="63">
        <f>D11+D13+D14</f>
        <v/>
      </c>
      <c r="E16" s="63">
        <f>E11+E13+E14</f>
        <v/>
      </c>
      <c r="F16" s="63">
        <f>F11+F13+F14</f>
        <v/>
      </c>
      <c r="G16" s="63">
        <f>G11+G13+G14</f>
        <v/>
      </c>
      <c r="H16" s="63">
        <f>H11+H13+H14</f>
        <v/>
      </c>
      <c r="I16" s="63">
        <f>I11+I13+I14</f>
        <v/>
      </c>
    </row>
    <row r="18" ht="15" customHeight="1" s="37">
      <c r="A18" s="47" t="inlineStr">
        <is>
          <t>LIABILITIES</t>
        </is>
      </c>
    </row>
    <row r="19" ht="15" customHeight="1" s="37">
      <c r="A19" s="61" t="inlineStr">
        <is>
          <t xml:space="preserve">   Accounts Payable</t>
        </is>
      </c>
      <c r="B19" s="65">
        <f>'Working Capital'!B12</f>
        <v/>
      </c>
      <c r="C19" s="65">
        <f>'Working Capital'!C12</f>
        <v/>
      </c>
      <c r="D19" s="65">
        <f>'Working Capital'!D12</f>
        <v/>
      </c>
      <c r="E19" s="65">
        <f>'Working Capital'!E12</f>
        <v/>
      </c>
      <c r="F19" s="65">
        <f>'Working Capital'!F12</f>
        <v/>
      </c>
      <c r="G19" s="65">
        <f>'Working Capital'!G12</f>
        <v/>
      </c>
      <c r="H19" s="65">
        <f>'Working Capital'!H12</f>
        <v/>
      </c>
      <c r="I19" s="65">
        <f>'Working Capital'!I12</f>
        <v/>
      </c>
    </row>
    <row r="20" ht="15" customHeight="1" s="37">
      <c r="A20" s="47" t="inlineStr">
        <is>
          <t xml:space="preserve">   Total Current Liabilities</t>
        </is>
      </c>
      <c r="B20" s="63">
        <f>B19</f>
        <v/>
      </c>
      <c r="C20" s="63">
        <f>C19</f>
        <v/>
      </c>
      <c r="D20" s="63">
        <f>D19</f>
        <v/>
      </c>
      <c r="E20" s="63">
        <f>E19</f>
        <v/>
      </c>
      <c r="F20" s="63">
        <f>F19</f>
        <v/>
      </c>
      <c r="G20" s="63">
        <f>G19</f>
        <v/>
      </c>
      <c r="H20" s="63">
        <f>H19</f>
        <v/>
      </c>
      <c r="I20" s="63">
        <f>I19</f>
        <v/>
      </c>
    </row>
    <row r="22" ht="15" customHeight="1" s="37">
      <c r="A22" s="61" t="inlineStr">
        <is>
          <t xml:space="preserve">   Term Loan (Long-term Debt)</t>
        </is>
      </c>
      <c r="B22" s="65">
        <f>'Debt Schedule'!B10</f>
        <v/>
      </c>
      <c r="C22" s="65">
        <f>'Debt Schedule'!C10</f>
        <v/>
      </c>
      <c r="D22" s="65">
        <f>'Debt Schedule'!D10</f>
        <v/>
      </c>
      <c r="E22" s="65">
        <f>'Debt Schedule'!E10</f>
        <v/>
      </c>
      <c r="F22" s="65">
        <f>'Debt Schedule'!F10</f>
        <v/>
      </c>
      <c r="G22" s="65">
        <f>'Debt Schedule'!G10</f>
        <v/>
      </c>
      <c r="H22" s="65">
        <f>'Debt Schedule'!H10</f>
        <v/>
      </c>
      <c r="I22" s="65">
        <f>'Debt Schedule'!I10</f>
        <v/>
      </c>
    </row>
    <row r="24" ht="15" customHeight="1" s="37">
      <c r="A24" s="47" t="inlineStr">
        <is>
          <t>TOTAL LIABILITIES</t>
        </is>
      </c>
      <c r="B24" s="63">
        <f>B20+B22</f>
        <v/>
      </c>
      <c r="C24" s="63">
        <f>C20+C22</f>
        <v/>
      </c>
      <c r="D24" s="63">
        <f>D20+D22</f>
        <v/>
      </c>
      <c r="E24" s="63">
        <f>E20+E22</f>
        <v/>
      </c>
      <c r="F24" s="63">
        <f>F20+F22</f>
        <v/>
      </c>
      <c r="G24" s="63">
        <f>G20+G22</f>
        <v/>
      </c>
      <c r="H24" s="63">
        <f>H20+H22</f>
        <v/>
      </c>
      <c r="I24" s="63">
        <f>I20+I22</f>
        <v/>
      </c>
    </row>
    <row r="26" ht="15" customHeight="1" s="37">
      <c r="A26" s="47" t="inlineStr">
        <is>
          <t>SHAREHOLDERS' EQUITY</t>
        </is>
      </c>
    </row>
    <row r="27" ht="15" customHeight="1" s="37">
      <c r="A27" s="61" t="inlineStr">
        <is>
          <t xml:space="preserve">   Common Stock</t>
        </is>
      </c>
      <c r="B27" s="56" t="n">
        <v>2000</v>
      </c>
      <c r="C27" s="56" t="n">
        <v>2000</v>
      </c>
      <c r="D27" s="56" t="n">
        <v>2000</v>
      </c>
      <c r="E27" s="56" t="n">
        <v>2000</v>
      </c>
      <c r="F27" s="56" t="n">
        <v>2000</v>
      </c>
      <c r="G27" s="56" t="n">
        <v>2000</v>
      </c>
      <c r="H27" s="56" t="n">
        <v>2000</v>
      </c>
      <c r="I27" s="56" t="n">
        <v>2000</v>
      </c>
    </row>
    <row r="28" ht="15" customHeight="1" s="37">
      <c r="A28" s="61" t="inlineStr">
        <is>
          <t xml:space="preserve">   Treasury Stock</t>
        </is>
      </c>
      <c r="B28" s="56" t="n">
        <v>-500</v>
      </c>
      <c r="C28" s="56" t="n">
        <v>-500</v>
      </c>
      <c r="D28" s="56" t="n">
        <v>-500</v>
      </c>
      <c r="E28" s="56" t="n">
        <v>-500</v>
      </c>
      <c r="F28" s="56" t="n">
        <v>-500</v>
      </c>
      <c r="G28" s="56" t="n">
        <v>-500</v>
      </c>
      <c r="H28" s="56" t="n">
        <v>-500</v>
      </c>
      <c r="I28" s="56" t="n">
        <v>-500</v>
      </c>
    </row>
    <row r="29" ht="15" customHeight="1" s="37">
      <c r="A29" s="61" t="inlineStr">
        <is>
          <t xml:space="preserve">   Retained Earnings</t>
        </is>
      </c>
      <c r="B29" s="56" t="n">
        <v>5473.6</v>
      </c>
      <c r="C29" s="56" t="n">
        <v>11575</v>
      </c>
      <c r="D29" s="56" t="n">
        <v>19253</v>
      </c>
      <c r="E29" s="62">
        <f>D29+'Income Statement'!E41*(1-Assumptions!$B$21)</f>
        <v/>
      </c>
      <c r="F29" s="62">
        <f>E29+'Income Statement'!F41*(1-Assumptions!$B$21)</f>
        <v/>
      </c>
      <c r="G29" s="62">
        <f>F29+'Income Statement'!G41*(1-Assumptions!$B$21)</f>
        <v/>
      </c>
      <c r="H29" s="62">
        <f>G29+'Income Statement'!H41*(1-Assumptions!$B$21)</f>
        <v/>
      </c>
      <c r="I29" s="62">
        <f>H29+'Income Statement'!I41*(1-Assumptions!$B$21)</f>
        <v/>
      </c>
    </row>
    <row r="31" ht="15" customHeight="1" s="37">
      <c r="A31" s="47" t="inlineStr">
        <is>
          <t>TOTAL SHAREHOLDERS' EQUITY</t>
        </is>
      </c>
      <c r="B31" s="63">
        <f>SUM(B27:B29)</f>
        <v/>
      </c>
      <c r="C31" s="63">
        <f>SUM(C27:C29)</f>
        <v/>
      </c>
      <c r="D31" s="63">
        <f>SUM(D27:D29)</f>
        <v/>
      </c>
      <c r="E31" s="63">
        <f>SUM(E27:E29)</f>
        <v/>
      </c>
      <c r="F31" s="63">
        <f>SUM(F27:F29)</f>
        <v/>
      </c>
      <c r="G31" s="63">
        <f>SUM(G27:G29)</f>
        <v/>
      </c>
      <c r="H31" s="63">
        <f>SUM(H27:H29)</f>
        <v/>
      </c>
      <c r="I31" s="63">
        <f>SUM(I27:I29)</f>
        <v/>
      </c>
    </row>
    <row r="33" ht="15" customHeight="1" s="37">
      <c r="A33" s="47" t="inlineStr">
        <is>
          <t>TOTAL LIABILITIES &amp; EQUITY</t>
        </is>
      </c>
      <c r="B33" s="69">
        <f>B24+B31</f>
        <v/>
      </c>
      <c r="C33" s="69">
        <f>C24+C31</f>
        <v/>
      </c>
      <c r="D33" s="69">
        <f>D24+D31</f>
        <v/>
      </c>
      <c r="E33" s="69">
        <f>E24+E31</f>
        <v/>
      </c>
      <c r="F33" s="69">
        <f>F24+F31</f>
        <v/>
      </c>
      <c r="G33" s="69">
        <f>G24+G31</f>
        <v/>
      </c>
      <c r="H33" s="69">
        <f>H24+H31</f>
        <v/>
      </c>
      <c r="I33" s="69">
        <f>I24+I31</f>
        <v/>
      </c>
    </row>
    <row r="35" ht="15" customHeight="1" s="37">
      <c r="A35" s="47" t="inlineStr">
        <is>
          <t>Balance Check (Assets - Liab. &amp; Equity)</t>
        </is>
      </c>
      <c r="B35" s="70">
        <f>B16-B33</f>
        <v/>
      </c>
      <c r="C35" s="70">
        <f>C16-C33</f>
        <v/>
      </c>
      <c r="D35" s="70">
        <f>D16-D33</f>
        <v/>
      </c>
      <c r="E35" s="70">
        <f>E16-E33</f>
        <v/>
      </c>
      <c r="F35" s="70">
        <f>F16-F33</f>
        <v/>
      </c>
      <c r="G35" s="70">
        <f>G16-G33</f>
        <v/>
      </c>
      <c r="H35" s="70">
        <f>H16-H33</f>
        <v/>
      </c>
      <c r="I35" s="70">
        <f>I16-I33</f>
        <v/>
      </c>
    </row>
    <row r="37" ht="15" customHeight="1" s="37">
      <c r="A37" s="47" t="inlineStr">
        <is>
          <t>Key Ratios</t>
        </is>
      </c>
    </row>
    <row r="38" ht="15" customHeight="1" s="37">
      <c r="A38" s="61" t="inlineStr">
        <is>
          <t>Current Ratio (x)</t>
        </is>
      </c>
      <c r="B38" s="71">
        <f>B11/B20</f>
        <v/>
      </c>
      <c r="C38" s="71">
        <f>C11/C20</f>
        <v/>
      </c>
      <c r="D38" s="71">
        <f>D11/D20</f>
        <v/>
      </c>
      <c r="E38" s="71">
        <f>E11/E20</f>
        <v/>
      </c>
      <c r="F38" s="71">
        <f>F11/F20</f>
        <v/>
      </c>
      <c r="G38" s="71">
        <f>G11/G20</f>
        <v/>
      </c>
      <c r="H38" s="71">
        <f>H11/H20</f>
        <v/>
      </c>
      <c r="I38" s="71">
        <f>I11/I20</f>
        <v/>
      </c>
    </row>
    <row r="39" ht="15" customHeight="1" s="37">
      <c r="A39" s="61" t="inlineStr">
        <is>
          <t>Quick Ratio (x)</t>
        </is>
      </c>
      <c r="B39" s="71">
        <f>(B8+B9)/B20</f>
        <v/>
      </c>
      <c r="C39" s="71">
        <f>(C8+C9)/C20</f>
        <v/>
      </c>
      <c r="D39" s="71">
        <f>(D8+D9)/D20</f>
        <v/>
      </c>
      <c r="E39" s="71">
        <f>(E8+E9)/E20</f>
        <v/>
      </c>
      <c r="F39" s="71">
        <f>(F8+F9)/F20</f>
        <v/>
      </c>
      <c r="G39" s="71">
        <f>(G8+G9)/G20</f>
        <v/>
      </c>
      <c r="H39" s="71">
        <f>(H8+H9)/H20</f>
        <v/>
      </c>
      <c r="I39" s="71">
        <f>(I8+I9)/I20</f>
        <v/>
      </c>
    </row>
    <row r="40" ht="15" customHeight="1" s="37">
      <c r="A40" s="61" t="inlineStr">
        <is>
          <t>Cash Ratio (x)</t>
        </is>
      </c>
      <c r="B40" s="71">
        <f>B8/B20</f>
        <v/>
      </c>
      <c r="C40" s="71">
        <f>C8/C20</f>
        <v/>
      </c>
      <c r="D40" s="71">
        <f>D8/D20</f>
        <v/>
      </c>
      <c r="E40" s="71">
        <f>E8/E20</f>
        <v/>
      </c>
      <c r="F40" s="71">
        <f>F8/F20</f>
        <v/>
      </c>
      <c r="G40" s="71">
        <f>G8/G20</f>
        <v/>
      </c>
      <c r="H40" s="71">
        <f>H8/H20</f>
        <v/>
      </c>
      <c r="I40" s="71">
        <f>I8/I20</f>
        <v/>
      </c>
    </row>
    <row r="41" ht="15" customHeight="1" s="37">
      <c r="A41" s="61" t="inlineStr">
        <is>
          <t>Debt / Equity (x)</t>
        </is>
      </c>
      <c r="B41" s="71">
        <f>B22/B31</f>
        <v/>
      </c>
      <c r="C41" s="71">
        <f>C22/C31</f>
        <v/>
      </c>
      <c r="D41" s="71">
        <f>D22/D31</f>
        <v/>
      </c>
      <c r="E41" s="71">
        <f>E22/E31</f>
        <v/>
      </c>
      <c r="F41" s="71">
        <f>F22/F31</f>
        <v/>
      </c>
      <c r="G41" s="71">
        <f>G22/G31</f>
        <v/>
      </c>
      <c r="H41" s="71">
        <f>H22/H31</f>
        <v/>
      </c>
      <c r="I41" s="71">
        <f>I22/I31</f>
        <v/>
      </c>
    </row>
    <row r="42" ht="15" customHeight="1" s="37">
      <c r="A42" s="61" t="inlineStr">
        <is>
          <t>Return on Equity (%)</t>
        </is>
      </c>
      <c r="B42" s="64">
        <f>'Income Statement'!B41/B31</f>
        <v/>
      </c>
      <c r="C42" s="64">
        <f>'Income Statement'!C41/C31</f>
        <v/>
      </c>
      <c r="D42" s="64">
        <f>'Income Statement'!D41/D31</f>
        <v/>
      </c>
      <c r="E42" s="64">
        <f>'Income Statement'!E41/E31</f>
        <v/>
      </c>
      <c r="F42" s="64">
        <f>'Income Statement'!F41/F31</f>
        <v/>
      </c>
      <c r="G42" s="64">
        <f>'Income Statement'!G41/G31</f>
        <v/>
      </c>
      <c r="H42" s="64">
        <f>'Income Statement'!H41/H31</f>
        <v/>
      </c>
      <c r="I42" s="64">
        <f>'Income Statement'!I41/I31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2026-06-30T18:36:11Z</dcterms:created>
  <dcterms:modified xmlns:dcterms="http://purl.org/dc/terms/" xmlns:xsi="http://www.w3.org/2001/XMLSchema-instance" xsi:type="dcterms:W3CDTF">2026-06-30T18:40:14Z</dcterms:modified>
  <cp:revision>0</cp:revision>
</cp:coreProperties>
</file>